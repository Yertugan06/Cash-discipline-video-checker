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ses" sheetId="2" state="visible" r:id="rId4"/>
    <sheet name="Rules" sheetId="3" state="visible" r:id="rId5"/>
    <sheet name="Case_Rule" sheetId="4" state="visible" r:id="rId6"/>
    <sheet name="Clips" sheetId="5" state="visible" r:id="rId7"/>
    <sheet name="Open_Questions" sheetId="6" state="visible" r:id="rId8"/>
  </sheets>
  <definedNames>
    <definedName function="false" hidden="true" localSheetId="3" name="_xlnm._FilterDatabase" vbProcedure="false">Case_Rule!$A$1:$E$23</definedName>
    <definedName function="false" hidden="true" localSheetId="1" name="_xlnm._FilterDatabase" vbProcedure="false">Cases!$A$1:$L$21</definedName>
    <definedName function="false" hidden="true" localSheetId="4" name="_xlnm._FilterDatabase" vbProcedure="false">Clips!$A$1:$I$43</definedName>
    <definedName function="false" hidden="true" localSheetId="5" name="_xlnm._FilterDatabase" vbProcedure="false">Open_Questions!$A$1:$F$11</definedName>
    <definedName function="false" hidden="true" localSheetId="2" name="_xlnm._FilterDatabase" vbProcedure="false">Rules!$A$1:$L$22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<sst xmlns="http://schemas.openxmlformats.org/spreadsheetml/2006/main" count="857" uniqueCount="462">
  <si>
    <t xml:space="preserve">Cash discipline: cases and rules</t>
  </si>
  <si>
    <t xml:space="preserve">ForteBank Datathon 26. Built from the 42 training clips, open_labels.xlsx and the task brief. As of 2026-10-17.</t>
  </si>
  <si>
    <t xml:space="preserve">Sheets</t>
  </si>
  <si>
    <t xml:space="preserve">Cases</t>
  </si>
  <si>
    <t xml:space="preserve">Scenario types: what happens on video. Each case lists its violation clips and its correct counterparts.</t>
  </si>
  <si>
    <t xml:space="preserve">Rules</t>
  </si>
  <si>
    <t xml:space="preserve">Atomic checks: one rule = one condition the engine can test. Each rule carries its legal source and strength.</t>
  </si>
  <si>
    <t xml:space="preserve">Case_Rule</t>
  </si>
  <si>
    <t xml:space="preserve">Link table (many-to-many). Edit this to change which rules a case breaks; counts on the other sheets update.</t>
  </si>
  <si>
    <t xml:space="preserve">Clips</t>
  </si>
  <si>
    <t xml:space="preserve">Every training clip with its label, case, role (violation / correct) and what is visible.</t>
  </si>
  <si>
    <t xml:space="preserve">Open_Questions</t>
  </si>
  <si>
    <t xml:space="preserve">Decisions still to make. Your answers go in the yellow column.</t>
  </si>
  <si>
    <t xml:space="preserve">Legend</t>
  </si>
  <si>
    <t xml:space="preserve">Yellow cells</t>
  </si>
  <si>
    <t xml:space="preserve">Inputs for you to fill in (decisions, status).</t>
  </si>
  <si>
    <t xml:space="preserve">Confidence</t>
  </si>
  <si>
    <t xml:space="preserve">High = clear in frames; Medium = likely; Low = needs a full-resolution re-watch.</t>
  </si>
  <si>
    <t xml:space="preserve">Strength</t>
  </si>
  <si>
    <t xml:space="preserve">Direct = the clause states the rule; Indirect = the clause requires the control and the video shows it unused; Weak = no explicit clause found.</t>
  </si>
  <si>
    <t xml:space="preserve">Status</t>
  </si>
  <si>
    <t xml:space="preserve">Confirmed = rule backed by a labelled clip; Candidate = proposed (unresolved clip or unseen type).</t>
  </si>
  <si>
    <t xml:space="preserve">Sources (short names)</t>
  </si>
  <si>
    <t xml:space="preserve">NBRK 231</t>
  </si>
  <si>
    <t xml:space="preserve">NBRK Board resolution No. 231 of 29.11.2019, rules for cash operations and cash collection (reg. No. 19680)</t>
  </si>
  <si>
    <t xml:space="preserve">https://adilet.zan.kz/rus/docs/V1900019680</t>
  </si>
  <si>
    <t xml:space="preserve">NBRK 14</t>
  </si>
  <si>
    <t xml:space="preserve">NBRK Board resolution No. 14 of 24.02.2020, security and layout of bank premises (reg. No. 20075)</t>
  </si>
  <si>
    <t xml:space="preserve">https://adilet.zan.kz/rus/docs/V2000020075</t>
  </si>
  <si>
    <t xml:space="preserve">NBRK 48</t>
  </si>
  <si>
    <t xml:space="preserve">NBRK Board resolution No. 48 of 27.03.2018, information security of banks (reg. No. 16772); repealed April 2026, successor clause to confirm</t>
  </si>
  <si>
    <t xml:space="preserve">https://adilet.zan.kz/rus/docs/V1800016772</t>
  </si>
  <si>
    <t xml:space="preserve">Case ID</t>
  </si>
  <si>
    <t xml:space="preserve">Scenario</t>
  </si>
  <si>
    <t xml:space="preserve">Phase</t>
  </si>
  <si>
    <t xml:space="preserve">What goes wrong</t>
  </si>
  <si>
    <t xml:space="preserve">What correct looks like</t>
  </si>
  <si>
    <t xml:space="preserve">Violation clips (label)</t>
  </si>
  <si>
    <t xml:space="preserve">Correct clips</t>
  </si>
  <si>
    <t xml:space="preserve">Timecode anchor</t>
  </si>
  <si>
    <t xml:space="preserve"># violation clips (primary)</t>
  </si>
  <si>
    <t xml:space="preserve"># correct clips (primary)</t>
  </si>
  <si>
    <t xml:space="preserve"># rules linked</t>
  </si>
  <si>
    <t xml:space="preserve">C-01</t>
  </si>
  <si>
    <t xml:space="preserve">Door left unlocked on entry</t>
  </si>
  <si>
    <t xml:space="preserve">Opening / entry</t>
  </si>
  <si>
    <t xml:space="preserve">Cashier walks in and goes to the desk without turning back to close and lock the door.</t>
  </si>
  <si>
    <t xml:space="preserve">Cashier turns back, closes and locks the door, then goes to the desk.</t>
  </si>
  <si>
    <t xml:space="preserve">X-32 @5s; X-33 @6s; X-30 (entry ~3s, labelled at 13s for the outsider)</t>
  </si>
  <si>
    <t xml:space="preserve">X-31</t>
  </si>
  <si>
    <t xml:space="preserve">Moment the person passes the door</t>
  </si>
  <si>
    <t xml:space="preserve">High</t>
  </si>
  <si>
    <t xml:space="preserve">C-02</t>
  </si>
  <si>
    <t xml:space="preserve">Outsider in the cash room</t>
  </si>
  <si>
    <t xml:space="preserve">Any time</t>
  </si>
  <si>
    <t xml:space="preserve">A non-staff person walks in and stands on the cashier side of the desk.</t>
  </si>
  <si>
    <t xml:space="preserve">Room stays closed; only the cashier is on the cashier side.</t>
  </si>
  <si>
    <t xml:space="preserve">X-30 @13s; X-33 (man enters ~10s, not labelled)</t>
  </si>
  <si>
    <t xml:space="preserve">Outsider enters the cashier zone</t>
  </si>
  <si>
    <t xml:space="preserve">C-03</t>
  </si>
  <si>
    <t xml:space="preserve">Second person during a service</t>
  </si>
  <si>
    <t xml:space="preserve">Client service</t>
  </si>
  <si>
    <t xml:space="preserve">While client 1 is being served, a second person walks in and hands the cashier a document.</t>
  </si>
  <si>
    <t xml:space="preserve">One client at a time; the next waits outside until the service ends.</t>
  </si>
  <si>
    <t xml:space="preserve">X-18 @20s</t>
  </si>
  <si>
    <t xml:space="preserve">X-19</t>
  </si>
  <si>
    <t xml:space="preserve">Second person's handover</t>
  </si>
  <si>
    <t xml:space="preserve">C-04</t>
  </si>
  <si>
    <t xml:space="preserve">Cash accepted without ID</t>
  </si>
  <si>
    <t xml:space="preserve">Client puts cash on the desk; no ID card or document is shown at any point; cashier processes it.</t>
  </si>
  <si>
    <t xml:space="preserve">Client hands over an ID card first; cashier checks it, then takes the cash.</t>
  </si>
  <si>
    <t xml:space="preserve">X-2 @10s</t>
  </si>
  <si>
    <t xml:space="preserve">X-1; X-3; X-5</t>
  </si>
  <si>
    <t xml:space="preserve">First cash handover of the session</t>
  </si>
  <si>
    <t xml:space="preserve">Medium</t>
  </si>
  <si>
    <t xml:space="preserve">C-05</t>
  </si>
  <si>
    <t xml:space="preserve">Client leaves before the count</t>
  </si>
  <si>
    <t xml:space="preserve">Client leaves; the cashier runs his cash through the machine after he has gone.</t>
  </si>
  <si>
    <t xml:space="preserve">Client waits while his cash is counted, then leaves.</t>
  </si>
  <si>
    <t xml:space="preserve">X-34 @13s</t>
  </si>
  <si>
    <t xml:space="preserve">X-37; X-35</t>
  </si>
  <si>
    <t xml:space="preserve">Client exit</t>
  </si>
  <si>
    <t xml:space="preserve">C-06</t>
  </si>
  <si>
    <t xml:space="preserve">Doubtful note returned to client</t>
  </si>
  <si>
    <t xml:space="preserve">After the machine count the cashier hand-counts and hands part of the notes back to the client.</t>
  </si>
  <si>
    <t xml:space="preserve">A note rejected by the machine is kept, an act is drawn up.</t>
  </si>
  <si>
    <t xml:space="preserve">X-1 @22s</t>
  </si>
  <si>
    <t xml:space="preserve">X-3</t>
  </si>
  <si>
    <t xml:space="preserve">Handover back to the client</t>
  </si>
  <si>
    <t xml:space="preserve">Low</t>
  </si>
  <si>
    <t xml:space="preserve">C-07</t>
  </si>
  <si>
    <t xml:space="preserve">Next client while previous cash is on the desk</t>
  </si>
  <si>
    <t xml:space="preserve">Between clients</t>
  </si>
  <si>
    <t xml:space="preserve">Client 1 leaves, his cash stays open on the desk, client 2 walks in and sits down.</t>
  </si>
  <si>
    <t xml:space="preserve">Cashier puts client 1's cash into the safe or locked drawer before the next client.</t>
  </si>
  <si>
    <t xml:space="preserve">X-4 @57s; X-38 @33s</t>
  </si>
  <si>
    <t xml:space="preserve">X-5; X-19; X-35; X-39</t>
  </si>
  <si>
    <t xml:space="preserve">Next client's entry</t>
  </si>
  <si>
    <t xml:space="preserve">C-08</t>
  </si>
  <si>
    <t xml:space="preserve">Cash of two clients merged</t>
  </si>
  <si>
    <t xml:space="preserve">Client 1's leftover cash is picked up together with client 2's notes.</t>
  </si>
  <si>
    <t xml:space="preserve">Each client's cash is handled and stacked separately.</t>
  </si>
  <si>
    <t xml:space="preserve">X-47 @68s (same file as X-4)</t>
  </si>
  <si>
    <t xml:space="preserve">X-5</t>
  </si>
  <si>
    <t xml:space="preserve">Moment the stacks join</t>
  </si>
  <si>
    <t xml:space="preserve">C-09</t>
  </si>
  <si>
    <t xml:space="preserve">Safe left open while working</t>
  </si>
  <si>
    <t xml:space="preserve">Cashier takes cash from the safe and works at the desk with the safe door wide open.</t>
  </si>
  <si>
    <t xml:space="preserve">Cashier closes the safe right after taking or putting cash.</t>
  </si>
  <si>
    <t xml:space="preserve">X-20 @5s</t>
  </si>
  <si>
    <t xml:space="preserve">X-21; X-8</t>
  </si>
  <si>
    <t xml:space="preserve">Cashier walks away from the open safe</t>
  </si>
  <si>
    <t xml:space="preserve">C-10</t>
  </si>
  <si>
    <t xml:space="preserve">Collector handover without checks</t>
  </si>
  <si>
    <t xml:space="preserve">Cash collection</t>
  </si>
  <si>
    <t xml:space="preserve">Collector hands over the bag and leaves at once; no document shown, no joint check of the bag.</t>
  </si>
  <si>
    <t xml:space="preserve">Collector shows his card/document, cashier checks it, collector waits while the bag is checked.</t>
  </si>
  <si>
    <t xml:space="preserve">X-17 @7s</t>
  </si>
  <si>
    <t xml:space="preserve">X-16</t>
  </si>
  <si>
    <t xml:space="preserve">Bag handover</t>
  </si>
  <si>
    <t xml:space="preserve">C-11</t>
  </si>
  <si>
    <t xml:space="preserve">Bag contents stored without recount</t>
  </si>
  <si>
    <t xml:space="preserve">Cashier opens the bag and moves the bundles straight into the safe.</t>
  </si>
  <si>
    <t xml:space="preserve">Cashier recounts every bundle (machine and hand) before putting it in the safe.</t>
  </si>
  <si>
    <t xml:space="preserve">X-13 @47s</t>
  </si>
  <si>
    <t xml:space="preserve">X-14</t>
  </si>
  <si>
    <t xml:space="preserve">Bundles go into the safe</t>
  </si>
  <si>
    <t xml:space="preserve">C-12</t>
  </si>
  <si>
    <t xml:space="preserve">Leaves with cash on the desk</t>
  </si>
  <si>
    <t xml:space="preserve">Leaving the workplace</t>
  </si>
  <si>
    <t xml:space="preserve">Cashier puts counted cash on the desk and walks out of the room.</t>
  </si>
  <si>
    <t xml:space="preserve">Cashier puts the cash into the safe and locks it before leaving.</t>
  </si>
  <si>
    <t xml:space="preserve">X-26 @9s</t>
  </si>
  <si>
    <t xml:space="preserve">X-27</t>
  </si>
  <si>
    <t xml:space="preserve">Cashier stands and heads for the door</t>
  </si>
  <si>
    <t xml:space="preserve">C-13</t>
  </si>
  <si>
    <t xml:space="preserve">Leaves with cash bag on the desk</t>
  </si>
  <si>
    <t xml:space="preserve">Cashier packs a cash bag, leaves it on the desk and walks out.</t>
  </si>
  <si>
    <t xml:space="preserve">Bag goes into the safe (or is handed over) before the cashier leaves.</t>
  </si>
  <si>
    <t xml:space="preserve">X-15 @15s</t>
  </si>
  <si>
    <t xml:space="preserve">X-25; X-27</t>
  </si>
  <si>
    <t xml:space="preserve">C-14</t>
  </si>
  <si>
    <t xml:space="preserve">Leaves with documents on the desk</t>
  </si>
  <si>
    <t xml:space="preserve">Cashier walks out leaving a tablet with documents (and a cup) on the desk.</t>
  </si>
  <si>
    <t xml:space="preserve">Documents and devices go into the safe before leaving.</t>
  </si>
  <si>
    <t xml:space="preserve">X-24 @8s</t>
  </si>
  <si>
    <t xml:space="preserve">X-25</t>
  </si>
  <si>
    <t xml:space="preserve">C-15</t>
  </si>
  <si>
    <t xml:space="preserve">Leaves with the computer unlocked</t>
  </si>
  <si>
    <t xml:space="preserve">Leaving / end of day</t>
  </si>
  <si>
    <t xml:space="preserve">Cashier leaves while the laptop shows a working application screen.</t>
  </si>
  <si>
    <t xml:space="preserve">Laptop shows the lock screen or is closed before the cashier leaves.</t>
  </si>
  <si>
    <t xml:space="preserve">X-28 @7s; X-11 @18s</t>
  </si>
  <si>
    <t xml:space="preserve">X-23; X-29; X-12</t>
  </si>
  <si>
    <t xml:space="preserve">C-16</t>
  </si>
  <si>
    <t xml:space="preserve">End-of-day exit, breach unclear</t>
  </si>
  <si>
    <t xml:space="preserve">End of day</t>
  </si>
  <si>
    <t xml:space="preserve">Cashier locks the laptop, touches the safe, leaves. Frames look almost the same as the correct X-23.</t>
  </si>
  <si>
    <t xml:space="preserve">As in X-23.</t>
  </si>
  <si>
    <t xml:space="preserve">X-22 @14s</t>
  </si>
  <si>
    <t xml:space="preserve">X-23</t>
  </si>
  <si>
    <t xml:space="preserve">Cashier leaves</t>
  </si>
  <si>
    <t xml:space="preserve">C-17</t>
  </si>
  <si>
    <t xml:space="preserve">Personal items on the cash desk</t>
  </si>
  <si>
    <t xml:space="preserve">Opening / any time</t>
  </si>
  <si>
    <t xml:space="preserve">Cashier arrives in a coat and puts the coat and handbag on the cash desk.</t>
  </si>
  <si>
    <t xml:space="preserve">Personal items stay outside the cash room.</t>
  </si>
  <si>
    <t xml:space="preserve">X-40 @17s</t>
  </si>
  <si>
    <t xml:space="preserve">(none in the set)</t>
  </si>
  <si>
    <t xml:space="preserve">Item placed on the desk</t>
  </si>
  <si>
    <t xml:space="preserve">C-18</t>
  </si>
  <si>
    <t xml:space="preserve">Eating or drinking at the desk</t>
  </si>
  <si>
    <t xml:space="preserve">Cashier eats a snack and drinks at the cash desk.</t>
  </si>
  <si>
    <t xml:space="preserve">No food or drink at the cash desk.</t>
  </si>
  <si>
    <t xml:space="preserve">X-46 @11s</t>
  </si>
  <si>
    <t xml:space="preserve">X-43; X-10</t>
  </si>
  <si>
    <t xml:space="preserve">First bite or sip</t>
  </si>
  <si>
    <t xml:space="preserve">C-19</t>
  </si>
  <si>
    <t xml:space="preserve">Notes re-stacked without the detector</t>
  </si>
  <si>
    <t xml:space="preserve">Notes from the counting machine are re-stacked by hand; a rejected note may go back without a detector check.</t>
  </si>
  <si>
    <t xml:space="preserve">Each doubtful note is checked on the detector before re-stacking.</t>
  </si>
  <si>
    <t xml:space="preserve">X-44 @16s</t>
  </si>
  <si>
    <t xml:space="preserve">X-45</t>
  </si>
  <si>
    <t xml:space="preserve">Re-stack moment</t>
  </si>
  <si>
    <t xml:space="preserve">C-20</t>
  </si>
  <si>
    <t xml:space="preserve">Camera phone at the cash desk</t>
  </si>
  <si>
    <t xml:space="preserve">Cashier has a phone with a camera at the desk (no clip in the set; extension for unseen types).</t>
  </si>
  <si>
    <t xml:space="preserve">Only communication devices without photo/video capture in the cash unit.</t>
  </si>
  <si>
    <t xml:space="preserve">(none)</t>
  </si>
  <si>
    <t xml:space="preserve">Phone first visible</t>
  </si>
  <si>
    <t xml:space="preserve">n/a</t>
  </si>
  <si>
    <t xml:space="preserve">Rule ID</t>
  </si>
  <si>
    <t xml:space="preserve">Family</t>
  </si>
  <si>
    <t xml:space="preserve">Must be true</t>
  </si>
  <si>
    <t xml:space="preserve">Breach condition (engine)</t>
  </si>
  <si>
    <t xml:space="preserve">Signals needed</t>
  </si>
  <si>
    <t xml:space="preserve">Min duration (proposal)</t>
  </si>
  <si>
    <t xml:space="preserve">Source (short)</t>
  </si>
  <si>
    <t xml:space="preserve">Source link</t>
  </si>
  <si>
    <t xml:space="preserve"># cases linked</t>
  </si>
  <si>
    <t xml:space="preserve">A-DOOR-LOCK</t>
  </si>
  <si>
    <t xml:space="preserve">Access</t>
  </si>
  <si>
    <t xml:space="preserve">Door is closed and locked within ~5 s after anyone enters.</t>
  </si>
  <si>
    <t xml:space="preserve">ENTER(person) and no door-close / hand-on-door event within 5 s while the person walks to the desk.</t>
  </si>
  <si>
    <t xml:space="preserve">Person tracker; door zone; door state; hand pose</t>
  </si>
  <si>
    <t xml:space="preserve">5 s</t>
  </si>
  <si>
    <t xml:space="preserve">Person passes the door</t>
  </si>
  <si>
    <t xml:space="preserve">NBRK 14, п.8, п.16(1)</t>
  </si>
  <si>
    <t xml:space="preserve">Indirect</t>
  </si>
  <si>
    <t xml:space="preserve">Confirmed</t>
  </si>
  <si>
    <t xml:space="preserve">A-OUTSIDER-ZONE</t>
  </si>
  <si>
    <t xml:space="preserve">Only the cashier stands in the cashier zone.</t>
  </si>
  <si>
    <t xml:space="preserve">A person other than the cashier stays inside the cashier zone.</t>
  </si>
  <si>
    <t xml:space="preserve">Person tracker; zones from calibration</t>
  </si>
  <si>
    <t xml:space="preserve">2 s</t>
  </si>
  <si>
    <t xml:space="preserve">First frame in the zone</t>
  </si>
  <si>
    <t xml:space="preserve">NBRK 14, п.8; NBRK 231, п.75</t>
  </si>
  <si>
    <t xml:space="preserve">A-SECOND-PERSON</t>
  </si>
  <si>
    <t xml:space="preserve">One client at a time.</t>
  </si>
  <si>
    <t xml:space="preserve">Client session open and a second non-staff person hands an item to the cashier.</t>
  </si>
  <si>
    <t xml:space="preserve">Sessions; handover detection</t>
  </si>
  <si>
    <t xml:space="preserve">-</t>
  </si>
  <si>
    <t xml:space="preserve">NBRK 231, п.21, п.22</t>
  </si>
  <si>
    <t xml:space="preserve">C-ID-BEFORE-CASH</t>
  </si>
  <si>
    <t xml:space="preserve">Client checks</t>
  </si>
  <si>
    <t xml:space="preserve">Client shows an ID document before cash is accepted or issued.</t>
  </si>
  <si>
    <t xml:space="preserve">First HANDOVER(client to cashier, cash) of a session with no ID_SHOWN before it.</t>
  </si>
  <si>
    <t xml:space="preserve">ID card / document detector; handover</t>
  </si>
  <si>
    <t xml:space="preserve">whole session</t>
  </si>
  <si>
    <t xml:space="preserve">First cash handover</t>
  </si>
  <si>
    <t xml:space="preserve">NBRK 231, п.7, п.19 пп.1, п.31 пп.1</t>
  </si>
  <si>
    <t xml:space="preserve">Direct</t>
  </si>
  <si>
    <t xml:space="preserve">C-COUNT-BEFORE-EXIT</t>
  </si>
  <si>
    <t xml:space="preserve">Client's cash is counted while the client is present.</t>
  </si>
  <si>
    <t xml:space="preserve">EXIT(client) before COUNT_END for that client's cash.</t>
  </si>
  <si>
    <t xml:space="preserve">Counting machine running state; hand count; exit</t>
  </si>
  <si>
    <t xml:space="preserve">NBRK 231, п.19 пп.2, п.20</t>
  </si>
  <si>
    <t xml:space="preserve">C-REJECT-NOT-RETURNED</t>
  </si>
  <si>
    <t xml:space="preserve">A doubtful note is kept and an act drawn up; it is not returned.</t>
  </si>
  <si>
    <t xml:space="preserve">Note from the machine's reject pocket handed to the client.</t>
  </si>
  <si>
    <t xml:space="preserve">Counter reject event; handover</t>
  </si>
  <si>
    <t xml:space="preserve">Handover to client</t>
  </si>
  <si>
    <t xml:space="preserve">NBRK 231, п.59-61</t>
  </si>
  <si>
    <t xml:space="preserve">C-DETECTOR-CHECK</t>
  </si>
  <si>
    <t xml:space="preserve">Notes rejected by the counter are checked on the detector before re-stacking.</t>
  </si>
  <si>
    <t xml:space="preserve">Rejected note re-stacked with no detector use in between.</t>
  </si>
  <si>
    <t xml:space="preserve">Detector device state; hand pose</t>
  </si>
  <si>
    <t xml:space="preserve">NBRK 231, п.9, п.59</t>
  </si>
  <si>
    <t xml:space="preserve">Weak</t>
  </si>
  <si>
    <t xml:space="preserve">Candidate</t>
  </si>
  <si>
    <t xml:space="preserve">S-CLEAN-DESK-HANDOVER</t>
  </si>
  <si>
    <t xml:space="preserve">Storage &amp; desk</t>
  </si>
  <si>
    <t xml:space="preserve">When a new client enters, no cash from earlier sessions is on the desk.</t>
  </si>
  <si>
    <t xml:space="preserve">ENTER(client N+1) while cash tagged with session N is on the desk.</t>
  </si>
  <si>
    <t xml:space="preserve">Money detector; money-flow tracker; sessions</t>
  </si>
  <si>
    <t xml:space="preserve">NBRK 231, п.20</t>
  </si>
  <si>
    <t xml:space="preserve">S-NO-MERGE</t>
  </si>
  <si>
    <t xml:space="preserve">Cash of different sessions is never stacked together.</t>
  </si>
  <si>
    <t xml:space="preserve">Cash tagged N joins a stack tagged N+1.</t>
  </si>
  <si>
    <t xml:space="preserve">Money-flow tracker</t>
  </si>
  <si>
    <t xml:space="preserve">NBRK 231, п.20, п.21</t>
  </si>
  <si>
    <t xml:space="preserve">S-SAFE-CLOSED</t>
  </si>
  <si>
    <t xml:space="preserve">The safe is closed whenever the cashier is not using it.</t>
  </si>
  <si>
    <t xml:space="preserve">Safe door open while the cashier is away from the safe zone.</t>
  </si>
  <si>
    <t xml:space="preserve">Safe door state; person tracker</t>
  </si>
  <si>
    <t xml:space="preserve">3 s</t>
  </si>
  <si>
    <t xml:space="preserve">Cashier leaves the safe zone</t>
  </si>
  <si>
    <t xml:space="preserve">K-COLLECTOR-DOC</t>
  </si>
  <si>
    <t xml:space="preserve">The collector's accompanying document / ID is checked before the bag is accepted.</t>
  </si>
  <si>
    <t xml:space="preserve">HANDOVER(collector to cashier, bag) with no document shown during the collector's visit.</t>
  </si>
  <si>
    <t xml:space="preserve">Document detector; role = enters carrying a bag</t>
  </si>
  <si>
    <t xml:space="preserve">NBRK 231, п.24 пп.1-2 (п.106-107 to read)</t>
  </si>
  <si>
    <t xml:space="preserve">K-SEAL-CHECK</t>
  </si>
  <si>
    <t xml:space="preserve">Bag and seal are inspected while the collector is present.</t>
  </si>
  <si>
    <t xml:space="preserve">Collector exits within ~5 s of the bag handover with no inspection of the bag.</t>
  </si>
  <si>
    <t xml:space="preserve">Person tracker; hand pose on the bag</t>
  </si>
  <si>
    <t xml:space="preserve">Collector exit</t>
  </si>
  <si>
    <t xml:space="preserve">NBRK 231, п.24 пп.3-4, п.25, п.94</t>
  </si>
  <si>
    <t xml:space="preserve">K-RECOUNT-BEFORE-SAFE</t>
  </si>
  <si>
    <t xml:space="preserve">Bundles from an opened bag are recounted before storage.</t>
  </si>
  <si>
    <t xml:space="preserve">Bundles move from the bag to the safe without passing the counter or a hand count.</t>
  </si>
  <si>
    <t xml:space="preserve">Money-flow tracker; counter state</t>
  </si>
  <si>
    <t xml:space="preserve">NBRK 231, п.42, п.74</t>
  </si>
  <si>
    <t xml:space="preserve">L-NO-CASH-ON-LEAVE</t>
  </si>
  <si>
    <t xml:space="preserve">Leaving</t>
  </si>
  <si>
    <t xml:space="preserve">No cash is on the desk when the cashier leaves.</t>
  </si>
  <si>
    <t xml:space="preserve">EXIT(cashier) while cash is on the desk.</t>
  </si>
  <si>
    <t xml:space="preserve">Money detector; person tracker</t>
  </si>
  <si>
    <t xml:space="preserve">Cashier leaves the desk zone</t>
  </si>
  <si>
    <t xml:space="preserve">NBRK 231, п.20, п.22</t>
  </si>
  <si>
    <t xml:space="preserve">L-NO-BAG-ON-LEAVE</t>
  </si>
  <si>
    <t xml:space="preserve">No cash bag is on the desk when the cashier leaves.</t>
  </si>
  <si>
    <t xml:space="preserve">EXIT(cashier) while a collection bag is on the desk.</t>
  </si>
  <si>
    <t xml:space="preserve">Bag detector; person tracker</t>
  </si>
  <si>
    <t xml:space="preserve">NBRK 231, п.20, п.80</t>
  </si>
  <si>
    <t xml:space="preserve">L-NO-DOCS-ON-LEAVE</t>
  </si>
  <si>
    <t xml:space="preserve">No documents or work devices are on the desk when the cashier leaves.</t>
  </si>
  <si>
    <t xml:space="preserve">EXIT(cashier) while a document or tablet is on the desk.</t>
  </si>
  <si>
    <t xml:space="preserve">Document / tablet detector; person tracker</t>
  </si>
  <si>
    <t xml:space="preserve">NBRK 231, п.80</t>
  </si>
  <si>
    <t xml:space="preserve">L-PC-LOCKED</t>
  </si>
  <si>
    <t xml:space="preserve">The computer is locked when the cashier leaves.</t>
  </si>
  <si>
    <t xml:space="preserve">EXIT(cashier) while the laptop shows a working (not lock) screen.</t>
  </si>
  <si>
    <t xml:space="preserve">Screen state classifier on the laptop crop</t>
  </si>
  <si>
    <t xml:space="preserve">NBRK 48, п.71 пп.9 (repealed; successor to confirm)</t>
  </si>
  <si>
    <t xml:space="preserve">L-SAFE-LOCKED-ON-LEAVE</t>
  </si>
  <si>
    <t xml:space="preserve">The safe is locked before the cashier leaves.</t>
  </si>
  <si>
    <t xml:space="preserve">EXIT(cashier) with no safe-locking motion after the last safe use.</t>
  </si>
  <si>
    <t xml:space="preserve">Safe state; hand pose at the lock</t>
  </si>
  <si>
    <t xml:space="preserve">NBRK 231, п.20, п.78</t>
  </si>
  <si>
    <t xml:space="preserve">W-NO-PERSONAL-ITEMS</t>
  </si>
  <si>
    <t xml:space="preserve">Workplace conduct</t>
  </si>
  <si>
    <t xml:space="preserve">No personal items in the cash unit.</t>
  </si>
  <si>
    <t xml:space="preserve">Coat, handbag or similar item on the cash desk.</t>
  </si>
  <si>
    <t xml:space="preserve">Object detector (coat, handbag)</t>
  </si>
  <si>
    <t xml:space="preserve">NBRK 231, п.12</t>
  </si>
  <si>
    <t xml:space="preserve">W-NO-FOOD</t>
  </si>
  <si>
    <t xml:space="preserve">No eating or drinking at the cash desk.</t>
  </si>
  <si>
    <t xml:space="preserve">Food or a cup raised to the mouth at the cash desk.</t>
  </si>
  <si>
    <t xml:space="preserve">Object detector (cup, food); hand pose to face</t>
  </si>
  <si>
    <t xml:space="preserve">1 s</t>
  </si>
  <si>
    <t xml:space="preserve">No explicit clause found; nearest NBRK 231, п.12</t>
  </si>
  <si>
    <t xml:space="preserve">W-NO-CAMERA-PHONE</t>
  </si>
  <si>
    <t xml:space="preserve">A phone visible in the cashier's hand or on the desk.</t>
  </si>
  <si>
    <t xml:space="preserve">Object detector (phone)</t>
  </si>
  <si>
    <t xml:space="preserve">Scenario (lookup)</t>
  </si>
  <si>
    <t xml:space="preserve">Source (lookup)</t>
  </si>
  <si>
    <t xml:space="preserve">Strength (lookup)</t>
  </si>
  <si>
    <t xml:space="preserve">Clip</t>
  </si>
  <si>
    <t xml:space="preserve">Label time (s)</t>
  </si>
  <si>
    <t xml:space="preserve">Label</t>
  </si>
  <si>
    <t xml:space="preserve">Case ID (primary)</t>
  </si>
  <si>
    <t xml:space="preserve">Role</t>
  </si>
  <si>
    <t xml:space="preserve">What is visible</t>
  </si>
  <si>
    <t xml:space="preserve">Duplicate of</t>
  </si>
  <si>
    <t xml:space="preserve">Camera layout</t>
  </si>
  <si>
    <t xml:space="preserve">X-1</t>
  </si>
  <si>
    <t xml:space="preserve">violation</t>
  </si>
  <si>
    <t xml:space="preserve">Notes from the machine hand-counted, part handed back to the client</t>
  </si>
  <si>
    <t xml:space="preserve">Client-facing desk</t>
  </si>
  <si>
    <t xml:space="preserve">X-2</t>
  </si>
  <si>
    <t xml:space="preserve">Cash placed on the desk with no ID shown</t>
  </si>
  <si>
    <t xml:space="preserve">no violation</t>
  </si>
  <si>
    <t xml:space="preserve">correct</t>
  </si>
  <si>
    <t xml:space="preserve">ID card shown, cash counted in the machine</t>
  </si>
  <si>
    <t xml:space="preserve">X-4</t>
  </si>
  <si>
    <t xml:space="preserve">Client 1's cash on the desk as client 2 enters</t>
  </si>
  <si>
    <t xml:space="preserve">Cash stored before the next client</t>
  </si>
  <si>
    <t xml:space="preserve">X-8</t>
  </si>
  <si>
    <t xml:space="preserve">Cash into the safe, safe closed, paperwork</t>
  </si>
  <si>
    <t xml:space="preserve">Back-office desk</t>
  </si>
  <si>
    <t xml:space="preserve">X-10</t>
  </si>
  <si>
    <t xml:space="preserve">Cashier counts cash alone at the desk</t>
  </si>
  <si>
    <t xml:space="preserve">X-11</t>
  </si>
  <si>
    <t xml:space="preserve">Leaves at end of day, laptop on a working screen, machine on</t>
  </si>
  <si>
    <t xml:space="preserve">X-12</t>
  </si>
  <si>
    <t xml:space="preserve">Laptop closed, machine off, safe locked, lights off</t>
  </si>
  <si>
    <t xml:space="preserve">X-13</t>
  </si>
  <si>
    <t xml:space="preserve">Bundles from the bag go straight into the safe</t>
  </si>
  <si>
    <t xml:space="preserve">Every bundle recounted, then the safe</t>
  </si>
  <si>
    <t xml:space="preserve">X-15</t>
  </si>
  <si>
    <t xml:space="preserve">Leaves with the packed cash bag on the desk</t>
  </si>
  <si>
    <t xml:space="preserve">Collector's card checked, collector waits</t>
  </si>
  <si>
    <t xml:space="preserve">X-17</t>
  </si>
  <si>
    <t xml:space="preserve">Collector hands the bag and leaves at once</t>
  </si>
  <si>
    <t xml:space="preserve">X-18</t>
  </si>
  <si>
    <t xml:space="preserve">Second person hands a document during a service</t>
  </si>
  <si>
    <t xml:space="preserve">One client at a time; cash to the safe between clients</t>
  </si>
  <si>
    <t xml:space="preserve">X-20</t>
  </si>
  <si>
    <t xml:space="preserve">Safe door left open while working at the desk</t>
  </si>
  <si>
    <t xml:space="preserve">X-21</t>
  </si>
  <si>
    <t xml:space="preserve">Cash taken, safe closed</t>
  </si>
  <si>
    <t xml:space="preserve">X-22</t>
  </si>
  <si>
    <t xml:space="preserve">Leaves at end of day; breach unclear</t>
  </si>
  <si>
    <t xml:space="preserve">Laptop on the lock screen, safe locked, leaves</t>
  </si>
  <si>
    <t xml:space="preserve">X-24</t>
  </si>
  <si>
    <t xml:space="preserve">Leaves with a tablet and a cup on the desk</t>
  </si>
  <si>
    <t xml:space="preserve">Tablet and items into the safe before leaving</t>
  </si>
  <si>
    <t xml:space="preserve">X-26</t>
  </si>
  <si>
    <t xml:space="preserve">Leaves with counted cash on the desk</t>
  </si>
  <si>
    <t xml:space="preserve">Cash into the safe before leaving</t>
  </si>
  <si>
    <t xml:space="preserve">X-28</t>
  </si>
  <si>
    <t xml:space="preserve">Leaves with the laptop unlocked</t>
  </si>
  <si>
    <t xml:space="preserve">X-29</t>
  </si>
  <si>
    <t xml:space="preserve">Laptop on the lock screen, leaves</t>
  </si>
  <si>
    <t xml:space="preserve">X-30</t>
  </si>
  <si>
    <t xml:space="preserve">Door not locked; a man stands on the cashier side</t>
  </si>
  <si>
    <t xml:space="preserve">Desk near the door</t>
  </si>
  <si>
    <t xml:space="preserve">Cashier turns back and locks the door</t>
  </si>
  <si>
    <t xml:space="preserve">X-32</t>
  </si>
  <si>
    <t xml:space="preserve">Cashier walks in without locking the door</t>
  </si>
  <si>
    <t xml:space="preserve">X-33</t>
  </si>
  <si>
    <t xml:space="preserve">Door not locked; a man enters at ~10 s</t>
  </si>
  <si>
    <t xml:space="preserve">X-34</t>
  </si>
  <si>
    <t xml:space="preserve">Client leaves before his cash is counted</t>
  </si>
  <si>
    <t xml:space="preserve">X-35</t>
  </si>
  <si>
    <t xml:space="preserve">Cash stored in the safe during the service</t>
  </si>
  <si>
    <t xml:space="preserve">X-37</t>
  </si>
  <si>
    <t xml:space="preserve">Client waits while his cash is counted</t>
  </si>
  <si>
    <t xml:space="preserve">X-38</t>
  </si>
  <si>
    <t xml:space="preserve">Client 1's notes on the desk as client 2 enters</t>
  </si>
  <si>
    <t xml:space="preserve">X-39</t>
  </si>
  <si>
    <t xml:space="preserve">Cash to the safe between clients</t>
  </si>
  <si>
    <t xml:space="preserve">X-40</t>
  </si>
  <si>
    <t xml:space="preserve">Coat and handbag put on the cash desk</t>
  </si>
  <si>
    <t xml:space="preserve">X-43</t>
  </si>
  <si>
    <t xml:space="preserve">Cashier works at the desk, no food</t>
  </si>
  <si>
    <t xml:space="preserve">X-44</t>
  </si>
  <si>
    <t xml:space="preserve">Notes re-stacked by hand, detector not used</t>
  </si>
  <si>
    <t xml:space="preserve">Each note checked on the detector</t>
  </si>
  <si>
    <t xml:space="preserve">X-46</t>
  </si>
  <si>
    <t xml:space="preserve">Eats a snack and drinks at the desk</t>
  </si>
  <si>
    <t xml:space="preserve">X-47</t>
  </si>
  <si>
    <t xml:space="preserve">Cash of two clients picked up together</t>
  </si>
  <si>
    <t xml:space="preserve">X-48</t>
  </si>
  <si>
    <t xml:space="preserve">Same as X-5</t>
  </si>
  <si>
    <t xml:space="preserve">#</t>
  </si>
  <si>
    <t xml:space="preserve">Question</t>
  </si>
  <si>
    <t xml:space="preserve">Why it matters</t>
  </si>
  <si>
    <t xml:space="preserve">My recommendation</t>
  </si>
  <si>
    <t xml:space="preserve">Your decision</t>
  </si>
  <si>
    <t xml:space="preserve">Q-01</t>
  </si>
  <si>
    <t xml:space="preserve">X-22: what is the breach?</t>
  </si>
  <si>
    <t xml:space="preserve">One labelled clip has no rule yet; it can't be trained or tested.</t>
  </si>
  <si>
    <t xml:space="preserve">Re-watch at full resolution against X-23. Until then keep L-SAFE-LOCKED-ON-LEAVE as a candidate and leave X-22 out of threshold tuning.</t>
  </si>
  <si>
    <t xml:space="preserve">Open</t>
  </si>
  <si>
    <t xml:space="preserve">Q-02</t>
  </si>
  <si>
    <t xml:space="preserve">Door left unlocked AND an outsider walks in later (X-30, X-33): report one violation or two?</t>
  </si>
  <si>
    <t xml:space="preserve">X-30 is labelled at the outsider (13 s), X-33 at the entry (6 s).</t>
  </si>
  <si>
    <t xml:space="preserve">Report both, earliest first. The verdict is per video; extra true events don't hurt.</t>
  </si>
  <si>
    <t xml:space="preserve">Q-03</t>
  </si>
  <si>
    <t xml:space="preserve">FAQ 32 says every violation has an open norm. Which clause covers eating at the desk?</t>
  </si>
  <si>
    <t xml:space="preserve">W-NO-FOOD has no explicit clause; criterion 4 penalises weak citations.</t>
  </si>
  <si>
    <t xml:space="preserve">Search NBRK and sanitary acts once more. If nothing is found, cite NBRK 231 п.12 and mark it Weak.</t>
  </si>
  <si>
    <t xml:space="preserve">Q-04</t>
  </si>
  <si>
    <t xml:space="preserve">Which timecode for missed actions (FAQ 10 leaves it to the team)?</t>
  </si>
  <si>
    <t xml:space="preserve">Criterion 2 checks the exact frame.</t>
  </si>
  <si>
    <t xml:space="preserve">The moment the action should have happened: the cash handover for a missing ID, the client's exit for a missing count, the entry for the door.</t>
  </si>
  <si>
    <t xml:space="preserve">Q-05</t>
  </si>
  <si>
    <t xml:space="preserve">How do we tell cashier, client, collector and outsider apart without faces?</t>
  </si>
  <si>
    <t xml:space="preserve">Face recognition is banned (FAQ 29); roles drive half the rules.</t>
  </si>
  <si>
    <t xml:space="preserve">Cashier = person who sits on the cashier side; collector = enters carrying a bag; client = sits on the client side; anyone else on the cashier side = outsider.</t>
  </si>
  <si>
    <t xml:space="preserve">Q-06</t>
  </si>
  <si>
    <t xml:space="preserve">Threshold policy: misses are unacceptable, false alarms should be few.</t>
  </si>
  <si>
    <t xml:space="preserve">Sets every min-duration in the Rules sheet.</t>
  </si>
  <si>
    <t xml:space="preserve">Tune so all 22 labelled events fire first, then cut false alarms on the 20 correct clips.</t>
  </si>
  <si>
    <t xml:space="preserve">Q-07</t>
  </si>
  <si>
    <t xml:space="preserve">Unseen violation types in the test: what does the VLM fallback report?</t>
  </si>
  <si>
    <t xml:space="preserve">Free-text reports with no rule hurt criteria 3 and 4.</t>
  </si>
  <si>
    <t xml:space="preserve">Report only when the VLM's description matches a rule in this sheet; add new rules here (C-20 shows the pattern).</t>
  </si>
  <si>
    <t xml:space="preserve">Q-08</t>
  </si>
  <si>
    <t xml:space="preserve">Final test is shot from a new angle: what if the safe or door is out of view?</t>
  </si>
  <si>
    <t xml:space="preserve">Rules that need a missing object can't be checked.</t>
  </si>
  <si>
    <t xml:space="preserve">Switch those rules off for that video and say so in the result, instead of guessing.</t>
  </si>
  <si>
    <t xml:space="preserve">Q-09</t>
  </si>
  <si>
    <t xml:space="preserve">X-4 and X-47 are the same file with different labels (57 s, 68 s).</t>
  </si>
  <si>
    <t xml:space="preserve">Affects how we score ourselves on the training set.</t>
  </si>
  <si>
    <t xml:space="preserve">Treat both labels as valid events of one video.</t>
  </si>
  <si>
    <t xml:space="preserve">Q-10</t>
  </si>
  <si>
    <t xml:space="preserve">Does the cashier handle a phone in any training clip?</t>
  </si>
  <si>
    <t xml:space="preserve">Decides whether W-NO-CAMERA-PHONE could fire on 'correct' clips.</t>
  </si>
  <si>
    <t xml:space="preserve">Check X-20 and X-26 frames before enabling the rule.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</si>
</sst>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5A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563C1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dilet.zan.kz/rus/docs/V1900019680" TargetMode="External"/><Relationship Id="rId2" Type="http://schemas.openxmlformats.org/officeDocument/2006/relationships/hyperlink" Target="https://adilet.zan.kz/rus/docs/V2000020075" TargetMode="External"/><Relationship Id="rId3" Type="http://schemas.openxmlformats.org/officeDocument/2006/relationships/hyperlink" Target="https://adilet.zan.kz/rus/docs/V1800016772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dilet.zan.kz/rus/docs/V2000020075" TargetMode="External"/><Relationship Id="rId2" Type="http://schemas.openxmlformats.org/officeDocument/2006/relationships/hyperlink" Target="https://adilet.zan.kz/rus/docs/V2000020075" TargetMode="External"/><Relationship Id="rId3" Type="http://schemas.openxmlformats.org/officeDocument/2006/relationships/hyperlink" Target="https://adilet.zan.kz/rus/docs/V1900019680" TargetMode="External"/><Relationship Id="rId4" Type="http://schemas.openxmlformats.org/officeDocument/2006/relationships/hyperlink" Target="https://adilet.zan.kz/rus/docs/V1900019680" TargetMode="External"/><Relationship Id="rId5" Type="http://schemas.openxmlformats.org/officeDocument/2006/relationships/hyperlink" Target="https://adilet.zan.kz/rus/docs/V1900019680" TargetMode="External"/><Relationship Id="rId6" Type="http://schemas.openxmlformats.org/officeDocument/2006/relationships/hyperlink" Target="https://adilet.zan.kz/rus/docs/V1900019680" TargetMode="External"/><Relationship Id="rId7" Type="http://schemas.openxmlformats.org/officeDocument/2006/relationships/hyperlink" Target="https://adilet.zan.kz/rus/docs/V1900019680" TargetMode="External"/><Relationship Id="rId8" Type="http://schemas.openxmlformats.org/officeDocument/2006/relationships/hyperlink" Target="https://adilet.zan.kz/rus/docs/V1900019680" TargetMode="External"/><Relationship Id="rId9" Type="http://schemas.openxmlformats.org/officeDocument/2006/relationships/hyperlink" Target="https://adilet.zan.kz/rus/docs/V1900019680" TargetMode="External"/><Relationship Id="rId10" Type="http://schemas.openxmlformats.org/officeDocument/2006/relationships/hyperlink" Target="https://adilet.zan.kz/rus/docs/V1900019680" TargetMode="External"/><Relationship Id="rId11" Type="http://schemas.openxmlformats.org/officeDocument/2006/relationships/hyperlink" Target="https://adilet.zan.kz/rus/docs/V1900019680" TargetMode="External"/><Relationship Id="rId12" Type="http://schemas.openxmlformats.org/officeDocument/2006/relationships/hyperlink" Target="https://adilet.zan.kz/rus/docs/V1900019680" TargetMode="External"/><Relationship Id="rId13" Type="http://schemas.openxmlformats.org/officeDocument/2006/relationships/hyperlink" Target="https://adilet.zan.kz/rus/docs/V1900019680" TargetMode="External"/><Relationship Id="rId14" Type="http://schemas.openxmlformats.org/officeDocument/2006/relationships/hyperlink" Target="https://adilet.zan.kz/rus/docs/V1900019680" TargetMode="External"/><Relationship Id="rId15" Type="http://schemas.openxmlformats.org/officeDocument/2006/relationships/hyperlink" Target="https://adilet.zan.kz/rus/docs/V1900019680" TargetMode="External"/><Relationship Id="rId16" Type="http://schemas.openxmlformats.org/officeDocument/2006/relationships/hyperlink" Target="https://adilet.zan.kz/rus/docs/V1900019680" TargetMode="External"/><Relationship Id="rId17" Type="http://schemas.openxmlformats.org/officeDocument/2006/relationships/hyperlink" Target="https://adilet.zan.kz/rus/docs/V1800016772" TargetMode="External"/><Relationship Id="rId18" Type="http://schemas.openxmlformats.org/officeDocument/2006/relationships/hyperlink" Target="https://adilet.zan.kz/rus/docs/V1900019680" TargetMode="External"/><Relationship Id="rId19" Type="http://schemas.openxmlformats.org/officeDocument/2006/relationships/hyperlink" Target="https://adilet.zan.kz/rus/docs/V1900019680" TargetMode="External"/><Relationship Id="rId20" Type="http://schemas.openxmlformats.org/officeDocument/2006/relationships/hyperlink" Target="https://adilet.zan.kz/rus/docs/V1900019680" TargetMode="External"/><Relationship Id="rId21" Type="http://schemas.openxmlformats.org/officeDocument/2006/relationships/hyperlink" Target="https://adilet.zan.kz/rus/docs/V1900019680" TargetMode="External"/><Relationship Id="rId2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6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23.8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  <c r="C18" s="7" t="s">
        <v>25</v>
      </c>
    </row>
    <row r="19" customFormat="false" ht="15" hidden="false" customHeight="false" outlineLevel="0" collapsed="false">
      <c r="A19" s="4" t="s">
        <v>26</v>
      </c>
      <c r="B19" s="5" t="s">
        <v>27</v>
      </c>
      <c r="C19" s="7" t="s">
        <v>28</v>
      </c>
    </row>
    <row r="20" customFormat="false" ht="23.85" hidden="false" customHeight="false" outlineLevel="0" collapsed="false">
      <c r="A20" s="4" t="s">
        <v>29</v>
      </c>
      <c r="B20" s="5" t="s">
        <v>30</v>
      </c>
      <c r="C20" s="7" t="s">
        <v>31</v>
      </c>
    </row>
  </sheetData>
  <hyperlinks>
    <hyperlink ref="C18" r:id="rId1" display="https://adilet.zan.kz/rus/docs/V1900019680"/>
    <hyperlink ref="C19" r:id="rId2" display="https://adilet.zan.kz/rus/docs/V2000020075"/>
    <hyperlink ref="C20" r:id="rId3" display="https://adilet.zan.kz/rus/docs/V180001677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44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11" min="9" style="0" width="12"/>
    <col collapsed="false" customWidth="true" hidden="false" outlineLevel="0" max="12" min="12" style="0" width="10"/>
  </cols>
  <sheetData>
    <row r="1" customFormat="false" ht="46.25" hidden="false" customHeight="false" outlineLevel="0" collapsed="false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16</v>
      </c>
      <c r="J1" s="8" t="s">
        <v>40</v>
      </c>
      <c r="K1" s="8" t="s">
        <v>41</v>
      </c>
      <c r="L1" s="8" t="s">
        <v>42</v>
      </c>
    </row>
    <row r="2" customFormat="false" ht="23.85" hidden="false" customHeight="false" outlineLevel="0" collapsed="false">
      <c r="A2" s="9" t="s">
        <v>43</v>
      </c>
      <c r="B2" s="10" t="s">
        <v>44</v>
      </c>
      <c r="C2" s="10" t="s">
        <v>45</v>
      </c>
      <c r="D2" s="10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0" t="s">
        <v>51</v>
      </c>
      <c r="J2" s="10" t="n">
        <f aca="false">COUNTIFS(Clips!$D:$D,A2,Clips!$E:$E,"violation")</f>
        <v>2</v>
      </c>
      <c r="K2" s="10" t="n">
        <f aca="false">COUNTIFS(Clips!$D:$D,A2,Clips!$E:$E,"correct")</f>
        <v>1</v>
      </c>
      <c r="L2" s="10" t="n">
        <f aca="false">COUNTIF(Case_Rule!$A:$A,A2)</f>
        <v>1</v>
      </c>
    </row>
    <row r="3" customFormat="false" ht="23.85" hidden="false" customHeight="false" outlineLevel="0" collapsed="false">
      <c r="A3" s="9" t="s">
        <v>52</v>
      </c>
      <c r="B3" s="10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49</v>
      </c>
      <c r="H3" s="10" t="s">
        <v>58</v>
      </c>
      <c r="I3" s="10" t="s">
        <v>51</v>
      </c>
      <c r="J3" s="10" t="n">
        <f aca="false">COUNTIFS(Clips!$D:$D,A3,Clips!$E:$E,"violation")</f>
        <v>1</v>
      </c>
      <c r="K3" s="10" t="n">
        <f aca="false">COUNTIFS(Clips!$D:$D,A3,Clips!$E:$E,"correct")</f>
        <v>0</v>
      </c>
      <c r="L3" s="10" t="n">
        <f aca="false">COUNTIF(Case_Rule!$A:$A,A3)</f>
        <v>1</v>
      </c>
    </row>
    <row r="4" customFormat="false" ht="23.85" hidden="false" customHeight="false" outlineLevel="0" collapsed="false">
      <c r="A4" s="9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51</v>
      </c>
      <c r="J4" s="10" t="n">
        <f aca="false">COUNTIFS(Clips!$D:$D,A4,Clips!$E:$E,"violation")</f>
        <v>1</v>
      </c>
      <c r="K4" s="10" t="n">
        <f aca="false">COUNTIFS(Clips!$D:$D,A4,Clips!$E:$E,"correct")</f>
        <v>1</v>
      </c>
      <c r="L4" s="10" t="n">
        <f aca="false">COUNTIF(Case_Rule!$A:$A,A4)</f>
        <v>1</v>
      </c>
    </row>
    <row r="5" customFormat="false" ht="23.85" hidden="false" customHeight="false" outlineLevel="0" collapsed="false">
      <c r="A5" s="9" t="s">
        <v>67</v>
      </c>
      <c r="B5" s="10" t="s">
        <v>68</v>
      </c>
      <c r="C5" s="10" t="s">
        <v>61</v>
      </c>
      <c r="D5" s="10" t="s">
        <v>69</v>
      </c>
      <c r="E5" s="10" t="s">
        <v>70</v>
      </c>
      <c r="F5" s="10" t="s">
        <v>71</v>
      </c>
      <c r="G5" s="10" t="s">
        <v>72</v>
      </c>
      <c r="H5" s="10" t="s">
        <v>73</v>
      </c>
      <c r="I5" s="10" t="s">
        <v>74</v>
      </c>
      <c r="J5" s="10" t="n">
        <f aca="false">COUNTIFS(Clips!$D:$D,A5,Clips!$E:$E,"violation")</f>
        <v>1</v>
      </c>
      <c r="K5" s="10" t="n">
        <f aca="false">COUNTIFS(Clips!$D:$D,A5,Clips!$E:$E,"correct")</f>
        <v>1</v>
      </c>
      <c r="L5" s="10" t="n">
        <f aca="false">COUNTIF(Case_Rule!$A:$A,A5)</f>
        <v>1</v>
      </c>
    </row>
    <row r="6" customFormat="false" ht="23.85" hidden="false" customHeight="false" outlineLevel="0" collapsed="false">
      <c r="A6" s="9" t="s">
        <v>75</v>
      </c>
      <c r="B6" s="10" t="s">
        <v>76</v>
      </c>
      <c r="C6" s="10" t="s">
        <v>61</v>
      </c>
      <c r="D6" s="10" t="s">
        <v>77</v>
      </c>
      <c r="E6" s="10" t="s">
        <v>78</v>
      </c>
      <c r="F6" s="10" t="s">
        <v>79</v>
      </c>
      <c r="G6" s="10" t="s">
        <v>80</v>
      </c>
      <c r="H6" s="10" t="s">
        <v>81</v>
      </c>
      <c r="I6" s="10" t="s">
        <v>51</v>
      </c>
      <c r="J6" s="10" t="n">
        <f aca="false">COUNTIFS(Clips!$D:$D,A6,Clips!$E:$E,"violation")</f>
        <v>1</v>
      </c>
      <c r="K6" s="10" t="n">
        <f aca="false">COUNTIFS(Clips!$D:$D,A6,Clips!$E:$E,"correct")</f>
        <v>1</v>
      </c>
      <c r="L6" s="10" t="n">
        <f aca="false">COUNTIF(Case_Rule!$A:$A,A6)</f>
        <v>1</v>
      </c>
    </row>
    <row r="7" customFormat="false" ht="23.85" hidden="false" customHeight="false" outlineLevel="0" collapsed="false">
      <c r="A7" s="9" t="s">
        <v>82</v>
      </c>
      <c r="B7" s="10" t="s">
        <v>83</v>
      </c>
      <c r="C7" s="10" t="s">
        <v>61</v>
      </c>
      <c r="D7" s="10" t="s">
        <v>84</v>
      </c>
      <c r="E7" s="10" t="s">
        <v>85</v>
      </c>
      <c r="F7" s="10" t="s">
        <v>86</v>
      </c>
      <c r="G7" s="10" t="s">
        <v>87</v>
      </c>
      <c r="H7" s="10" t="s">
        <v>88</v>
      </c>
      <c r="I7" s="10" t="s">
        <v>89</v>
      </c>
      <c r="J7" s="10" t="n">
        <f aca="false">COUNTIFS(Clips!$D:$D,A7,Clips!$E:$E,"violation")</f>
        <v>1</v>
      </c>
      <c r="K7" s="10" t="n">
        <f aca="false">COUNTIFS(Clips!$D:$D,A7,Clips!$E:$E,"correct")</f>
        <v>0</v>
      </c>
      <c r="L7" s="10" t="n">
        <f aca="false">COUNTIF(Case_Rule!$A:$A,A7)</f>
        <v>1</v>
      </c>
    </row>
    <row r="8" customFormat="false" ht="23.85" hidden="false" customHeight="false" outlineLevel="0" collapsed="false">
      <c r="A8" s="9" t="s">
        <v>90</v>
      </c>
      <c r="B8" s="10" t="s">
        <v>91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96</v>
      </c>
      <c r="H8" s="10" t="s">
        <v>97</v>
      </c>
      <c r="I8" s="10" t="s">
        <v>51</v>
      </c>
      <c r="J8" s="10" t="n">
        <f aca="false">COUNTIFS(Clips!$D:$D,A8,Clips!$E:$E,"violation")</f>
        <v>2</v>
      </c>
      <c r="K8" s="10" t="n">
        <f aca="false">COUNTIFS(Clips!$D:$D,A8,Clips!$E:$E,"correct")</f>
        <v>4</v>
      </c>
      <c r="L8" s="10" t="n">
        <f aca="false">COUNTIF(Case_Rule!$A:$A,A8)</f>
        <v>1</v>
      </c>
    </row>
    <row r="9" customFormat="false" ht="23.85" hidden="false" customHeight="false" outlineLevel="0" collapsed="false">
      <c r="A9" s="9" t="s">
        <v>98</v>
      </c>
      <c r="B9" s="10" t="s">
        <v>99</v>
      </c>
      <c r="C9" s="10" t="s">
        <v>92</v>
      </c>
      <c r="D9" s="10" t="s">
        <v>100</v>
      </c>
      <c r="E9" s="10" t="s">
        <v>101</v>
      </c>
      <c r="F9" s="10" t="s">
        <v>102</v>
      </c>
      <c r="G9" s="10" t="s">
        <v>103</v>
      </c>
      <c r="H9" s="10" t="s">
        <v>104</v>
      </c>
      <c r="I9" s="10" t="s">
        <v>74</v>
      </c>
      <c r="J9" s="10" t="n">
        <f aca="false">COUNTIFS(Clips!$D:$D,A9,Clips!$E:$E,"violation")</f>
        <v>1</v>
      </c>
      <c r="K9" s="10" t="n">
        <f aca="false">COUNTIFS(Clips!$D:$D,A9,Clips!$E:$E,"correct")</f>
        <v>0</v>
      </c>
      <c r="L9" s="10" t="n">
        <f aca="false">COUNTIF(Case_Rule!$A:$A,A9)</f>
        <v>1</v>
      </c>
    </row>
    <row r="10" customFormat="false" ht="23.85" hidden="false" customHeight="false" outlineLevel="0" collapsed="false">
      <c r="A10" s="9" t="s">
        <v>105</v>
      </c>
      <c r="B10" s="10" t="s">
        <v>106</v>
      </c>
      <c r="C10" s="10" t="s">
        <v>54</v>
      </c>
      <c r="D10" s="10" t="s">
        <v>107</v>
      </c>
      <c r="E10" s="10" t="s">
        <v>108</v>
      </c>
      <c r="F10" s="10" t="s">
        <v>109</v>
      </c>
      <c r="G10" s="10" t="s">
        <v>110</v>
      </c>
      <c r="H10" s="10" t="s">
        <v>111</v>
      </c>
      <c r="I10" s="10" t="s">
        <v>51</v>
      </c>
      <c r="J10" s="10" t="n">
        <f aca="false">COUNTIFS(Clips!$D:$D,A10,Clips!$E:$E,"violation")</f>
        <v>1</v>
      </c>
      <c r="K10" s="10" t="n">
        <f aca="false">COUNTIFS(Clips!$D:$D,A10,Clips!$E:$E,"correct")</f>
        <v>2</v>
      </c>
      <c r="L10" s="10" t="n">
        <f aca="false">COUNTIF(Case_Rule!$A:$A,A10)</f>
        <v>1</v>
      </c>
    </row>
    <row r="11" customFormat="false" ht="23.85" hidden="false" customHeight="false" outlineLevel="0" collapsed="false">
      <c r="A11" s="9" t="s">
        <v>112</v>
      </c>
      <c r="B11" s="10" t="s">
        <v>113</v>
      </c>
      <c r="C11" s="10" t="s">
        <v>114</v>
      </c>
      <c r="D11" s="10" t="s">
        <v>115</v>
      </c>
      <c r="E11" s="10" t="s">
        <v>116</v>
      </c>
      <c r="F11" s="10" t="s">
        <v>117</v>
      </c>
      <c r="G11" s="10" t="s">
        <v>118</v>
      </c>
      <c r="H11" s="10" t="s">
        <v>119</v>
      </c>
      <c r="I11" s="10" t="s">
        <v>51</v>
      </c>
      <c r="J11" s="10" t="n">
        <f aca="false">COUNTIFS(Clips!$D:$D,A11,Clips!$E:$E,"violation")</f>
        <v>1</v>
      </c>
      <c r="K11" s="10" t="n">
        <f aca="false">COUNTIFS(Clips!$D:$D,A11,Clips!$E:$E,"correct")</f>
        <v>1</v>
      </c>
      <c r="L11" s="10" t="n">
        <f aca="false">COUNTIF(Case_Rule!$A:$A,A11)</f>
        <v>2</v>
      </c>
    </row>
    <row r="12" customFormat="false" ht="23.85" hidden="false" customHeight="false" outlineLevel="0" collapsed="false">
      <c r="A12" s="9" t="s">
        <v>120</v>
      </c>
      <c r="B12" s="10" t="s">
        <v>121</v>
      </c>
      <c r="C12" s="10" t="s">
        <v>114</v>
      </c>
      <c r="D12" s="10" t="s">
        <v>122</v>
      </c>
      <c r="E12" s="10" t="s">
        <v>123</v>
      </c>
      <c r="F12" s="10" t="s">
        <v>124</v>
      </c>
      <c r="G12" s="10" t="s">
        <v>125</v>
      </c>
      <c r="H12" s="10" t="s">
        <v>126</v>
      </c>
      <c r="I12" s="10" t="s">
        <v>51</v>
      </c>
      <c r="J12" s="10" t="n">
        <f aca="false">COUNTIFS(Clips!$D:$D,A12,Clips!$E:$E,"violation")</f>
        <v>1</v>
      </c>
      <c r="K12" s="10" t="n">
        <f aca="false">COUNTIFS(Clips!$D:$D,A12,Clips!$E:$E,"correct")</f>
        <v>1</v>
      </c>
      <c r="L12" s="10" t="n">
        <f aca="false">COUNTIF(Case_Rule!$A:$A,A12)</f>
        <v>1</v>
      </c>
    </row>
    <row r="13" customFormat="false" ht="23.85" hidden="false" customHeight="false" outlineLevel="0" collapsed="false">
      <c r="A13" s="9" t="s">
        <v>127</v>
      </c>
      <c r="B13" s="10" t="s">
        <v>128</v>
      </c>
      <c r="C13" s="10" t="s">
        <v>129</v>
      </c>
      <c r="D13" s="10" t="s">
        <v>130</v>
      </c>
      <c r="E13" s="10" t="s">
        <v>131</v>
      </c>
      <c r="F13" s="10" t="s">
        <v>132</v>
      </c>
      <c r="G13" s="10" t="s">
        <v>133</v>
      </c>
      <c r="H13" s="10" t="s">
        <v>134</v>
      </c>
      <c r="I13" s="10" t="s">
        <v>51</v>
      </c>
      <c r="J13" s="10" t="n">
        <f aca="false">COUNTIFS(Clips!$D:$D,A13,Clips!$E:$E,"violation")</f>
        <v>1</v>
      </c>
      <c r="K13" s="10" t="n">
        <f aca="false">COUNTIFS(Clips!$D:$D,A13,Clips!$E:$E,"correct")</f>
        <v>1</v>
      </c>
      <c r="L13" s="10" t="n">
        <f aca="false">COUNTIF(Case_Rule!$A:$A,A13)</f>
        <v>1</v>
      </c>
    </row>
    <row r="14" customFormat="false" ht="23.85" hidden="false" customHeight="false" outlineLevel="0" collapsed="false">
      <c r="A14" s="9" t="s">
        <v>135</v>
      </c>
      <c r="B14" s="10" t="s">
        <v>136</v>
      </c>
      <c r="C14" s="10" t="s">
        <v>129</v>
      </c>
      <c r="D14" s="10" t="s">
        <v>137</v>
      </c>
      <c r="E14" s="10" t="s">
        <v>138</v>
      </c>
      <c r="F14" s="10" t="s">
        <v>139</v>
      </c>
      <c r="G14" s="10" t="s">
        <v>140</v>
      </c>
      <c r="H14" s="10" t="s">
        <v>134</v>
      </c>
      <c r="I14" s="10" t="s">
        <v>51</v>
      </c>
      <c r="J14" s="10" t="n">
        <f aca="false">COUNTIFS(Clips!$D:$D,A14,Clips!$E:$E,"violation")</f>
        <v>1</v>
      </c>
      <c r="K14" s="10" t="n">
        <f aca="false">COUNTIFS(Clips!$D:$D,A14,Clips!$E:$E,"correct")</f>
        <v>0</v>
      </c>
      <c r="L14" s="10" t="n">
        <f aca="false">COUNTIF(Case_Rule!$A:$A,A14)</f>
        <v>1</v>
      </c>
    </row>
    <row r="15" customFormat="false" ht="23.85" hidden="false" customHeight="false" outlineLevel="0" collapsed="false">
      <c r="A15" s="9" t="s">
        <v>141</v>
      </c>
      <c r="B15" s="10" t="s">
        <v>142</v>
      </c>
      <c r="C15" s="10" t="s">
        <v>129</v>
      </c>
      <c r="D15" s="10" t="s">
        <v>143</v>
      </c>
      <c r="E15" s="10" t="s">
        <v>144</v>
      </c>
      <c r="F15" s="10" t="s">
        <v>145</v>
      </c>
      <c r="G15" s="10" t="s">
        <v>146</v>
      </c>
      <c r="H15" s="10" t="s">
        <v>134</v>
      </c>
      <c r="I15" s="10" t="s">
        <v>74</v>
      </c>
      <c r="J15" s="10" t="n">
        <f aca="false">COUNTIFS(Clips!$D:$D,A15,Clips!$E:$E,"violation")</f>
        <v>1</v>
      </c>
      <c r="K15" s="10" t="n">
        <f aca="false">COUNTIFS(Clips!$D:$D,A15,Clips!$E:$E,"correct")</f>
        <v>1</v>
      </c>
      <c r="L15" s="10" t="n">
        <f aca="false">COUNTIF(Case_Rule!$A:$A,A15)</f>
        <v>2</v>
      </c>
    </row>
    <row r="16" customFormat="false" ht="23.85" hidden="false" customHeight="false" outlineLevel="0" collapsed="false">
      <c r="A16" s="9" t="s">
        <v>147</v>
      </c>
      <c r="B16" s="10" t="s">
        <v>148</v>
      </c>
      <c r="C16" s="10" t="s">
        <v>149</v>
      </c>
      <c r="D16" s="10" t="s">
        <v>150</v>
      </c>
      <c r="E16" s="10" t="s">
        <v>151</v>
      </c>
      <c r="F16" s="10" t="s">
        <v>152</v>
      </c>
      <c r="G16" s="10" t="s">
        <v>153</v>
      </c>
      <c r="H16" s="10" t="s">
        <v>134</v>
      </c>
      <c r="I16" s="10" t="s">
        <v>51</v>
      </c>
      <c r="J16" s="10" t="n">
        <f aca="false">COUNTIFS(Clips!$D:$D,A16,Clips!$E:$E,"violation")</f>
        <v>2</v>
      </c>
      <c r="K16" s="10" t="n">
        <f aca="false">COUNTIFS(Clips!$D:$D,A16,Clips!$E:$E,"correct")</f>
        <v>3</v>
      </c>
      <c r="L16" s="10" t="n">
        <f aca="false">COUNTIF(Case_Rule!$A:$A,A16)</f>
        <v>1</v>
      </c>
    </row>
    <row r="17" customFormat="false" ht="23.85" hidden="false" customHeight="false" outlineLevel="0" collapsed="false">
      <c r="A17" s="9" t="s">
        <v>154</v>
      </c>
      <c r="B17" s="10" t="s">
        <v>155</v>
      </c>
      <c r="C17" s="10" t="s">
        <v>156</v>
      </c>
      <c r="D17" s="10" t="s">
        <v>157</v>
      </c>
      <c r="E17" s="10" t="s">
        <v>158</v>
      </c>
      <c r="F17" s="10" t="s">
        <v>159</v>
      </c>
      <c r="G17" s="10" t="s">
        <v>160</v>
      </c>
      <c r="H17" s="10" t="s">
        <v>161</v>
      </c>
      <c r="I17" s="10" t="s">
        <v>89</v>
      </c>
      <c r="J17" s="10" t="n">
        <f aca="false">COUNTIFS(Clips!$D:$D,A17,Clips!$E:$E,"violation")</f>
        <v>1</v>
      </c>
      <c r="K17" s="10" t="n">
        <f aca="false">COUNTIFS(Clips!$D:$D,A17,Clips!$E:$E,"correct")</f>
        <v>0</v>
      </c>
      <c r="L17" s="10" t="n">
        <f aca="false">COUNTIF(Case_Rule!$A:$A,A17)</f>
        <v>1</v>
      </c>
    </row>
    <row r="18" customFormat="false" ht="23.85" hidden="false" customHeight="false" outlineLevel="0" collapsed="false">
      <c r="A18" s="9" t="s">
        <v>162</v>
      </c>
      <c r="B18" s="10" t="s">
        <v>163</v>
      </c>
      <c r="C18" s="10" t="s">
        <v>164</v>
      </c>
      <c r="D18" s="10" t="s">
        <v>165</v>
      </c>
      <c r="E18" s="10" t="s">
        <v>166</v>
      </c>
      <c r="F18" s="10" t="s">
        <v>167</v>
      </c>
      <c r="G18" s="10" t="s">
        <v>168</v>
      </c>
      <c r="H18" s="10" t="s">
        <v>169</v>
      </c>
      <c r="I18" s="10" t="s">
        <v>51</v>
      </c>
      <c r="J18" s="10" t="n">
        <f aca="false">COUNTIFS(Clips!$D:$D,A18,Clips!$E:$E,"violation")</f>
        <v>1</v>
      </c>
      <c r="K18" s="10" t="n">
        <f aca="false">COUNTIFS(Clips!$D:$D,A18,Clips!$E:$E,"correct")</f>
        <v>0</v>
      </c>
      <c r="L18" s="10" t="n">
        <f aca="false">COUNTIF(Case_Rule!$A:$A,A18)</f>
        <v>1</v>
      </c>
    </row>
    <row r="19" customFormat="false" ht="15" hidden="false" customHeight="false" outlineLevel="0" collapsed="false">
      <c r="A19" s="9" t="s">
        <v>170</v>
      </c>
      <c r="B19" s="10" t="s">
        <v>171</v>
      </c>
      <c r="C19" s="10" t="s">
        <v>54</v>
      </c>
      <c r="D19" s="10" t="s">
        <v>172</v>
      </c>
      <c r="E19" s="10" t="s">
        <v>173</v>
      </c>
      <c r="F19" s="10" t="s">
        <v>174</v>
      </c>
      <c r="G19" s="10" t="s">
        <v>175</v>
      </c>
      <c r="H19" s="10" t="s">
        <v>176</v>
      </c>
      <c r="I19" s="10" t="s">
        <v>51</v>
      </c>
      <c r="J19" s="10" t="n">
        <f aca="false">COUNTIFS(Clips!$D:$D,A19,Clips!$E:$E,"violation")</f>
        <v>1</v>
      </c>
      <c r="K19" s="10" t="n">
        <f aca="false">COUNTIFS(Clips!$D:$D,A19,Clips!$E:$E,"correct")</f>
        <v>2</v>
      </c>
      <c r="L19" s="10" t="n">
        <f aca="false">COUNTIF(Case_Rule!$A:$A,A19)</f>
        <v>1</v>
      </c>
    </row>
    <row r="20" customFormat="false" ht="23.85" hidden="false" customHeight="false" outlineLevel="0" collapsed="false">
      <c r="A20" s="9" t="s">
        <v>177</v>
      </c>
      <c r="B20" s="10" t="s">
        <v>178</v>
      </c>
      <c r="C20" s="10" t="s">
        <v>54</v>
      </c>
      <c r="D20" s="10" t="s">
        <v>179</v>
      </c>
      <c r="E20" s="10" t="s">
        <v>180</v>
      </c>
      <c r="F20" s="10" t="s">
        <v>181</v>
      </c>
      <c r="G20" s="10" t="s">
        <v>182</v>
      </c>
      <c r="H20" s="10" t="s">
        <v>183</v>
      </c>
      <c r="I20" s="10" t="s">
        <v>89</v>
      </c>
      <c r="J20" s="10" t="n">
        <f aca="false">COUNTIFS(Clips!$D:$D,A20,Clips!$E:$E,"violation")</f>
        <v>1</v>
      </c>
      <c r="K20" s="10" t="n">
        <f aca="false">COUNTIFS(Clips!$D:$D,A20,Clips!$E:$E,"correct")</f>
        <v>1</v>
      </c>
      <c r="L20" s="10" t="n">
        <f aca="false">COUNTIF(Case_Rule!$A:$A,A20)</f>
        <v>1</v>
      </c>
    </row>
    <row r="21" customFormat="false" ht="23.85" hidden="false" customHeight="false" outlineLevel="0" collapsed="false">
      <c r="A21" s="9" t="s">
        <v>184</v>
      </c>
      <c r="B21" s="10" t="s">
        <v>185</v>
      </c>
      <c r="C21" s="10" t="s">
        <v>54</v>
      </c>
      <c r="D21" s="10" t="s">
        <v>186</v>
      </c>
      <c r="E21" s="10" t="s">
        <v>187</v>
      </c>
      <c r="F21" s="10" t="s">
        <v>188</v>
      </c>
      <c r="G21" s="10" t="s">
        <v>188</v>
      </c>
      <c r="H21" s="10" t="s">
        <v>189</v>
      </c>
      <c r="I21" s="10" t="s">
        <v>190</v>
      </c>
      <c r="J21" s="10" t="n">
        <f aca="false">COUNTIFS(Clips!$D:$D,A21,Clips!$E:$E,"violation")</f>
        <v>0</v>
      </c>
      <c r="K21" s="10" t="n">
        <f aca="false">COUNTIFS(Clips!$D:$D,A21,Clips!$E:$E,"correct")</f>
        <v>0</v>
      </c>
      <c r="L21" s="10" t="n">
        <f aca="false">COUNTIF(Case_Rule!$A:$A,A21)</f>
        <v>1</v>
      </c>
    </row>
  </sheetData>
  <autoFilter ref="A1:L21"/>
  <dataValidations count="1">
    <dataValidation allowBlank="true" errorStyle="stop" operator="between" showDropDown="false" showErrorMessage="false" showInputMessage="false" sqref="I2:I21" type="list">
      <formula1>"High,Medium,Low,n/a"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46.25" hidden="false" customHeight="false" outlineLevel="0" collapsed="false">
      <c r="A1" s="8" t="s">
        <v>191</v>
      </c>
      <c r="B1" s="8" t="s">
        <v>192</v>
      </c>
      <c r="C1" s="8" t="s">
        <v>193</v>
      </c>
      <c r="D1" s="8" t="s">
        <v>194</v>
      </c>
      <c r="E1" s="8" t="s">
        <v>195</v>
      </c>
      <c r="F1" s="8" t="s">
        <v>196</v>
      </c>
      <c r="G1" s="8" t="s">
        <v>39</v>
      </c>
      <c r="H1" s="8" t="s">
        <v>197</v>
      </c>
      <c r="I1" s="8" t="s">
        <v>198</v>
      </c>
      <c r="J1" s="8" t="s">
        <v>18</v>
      </c>
      <c r="K1" s="8" t="s">
        <v>20</v>
      </c>
      <c r="L1" s="8" t="s">
        <v>199</v>
      </c>
    </row>
    <row r="2" customFormat="false" ht="23.85" hidden="false" customHeight="false" outlineLevel="0" collapsed="false">
      <c r="A2" s="9" t="s">
        <v>200</v>
      </c>
      <c r="B2" s="10" t="s">
        <v>201</v>
      </c>
      <c r="C2" s="10" t="s">
        <v>202</v>
      </c>
      <c r="D2" s="10" t="s">
        <v>203</v>
      </c>
      <c r="E2" s="10" t="s">
        <v>204</v>
      </c>
      <c r="F2" s="10" t="s">
        <v>205</v>
      </c>
      <c r="G2" s="10" t="s">
        <v>206</v>
      </c>
      <c r="H2" s="10" t="s">
        <v>207</v>
      </c>
      <c r="I2" s="11" t="s">
        <v>28</v>
      </c>
      <c r="J2" s="10" t="s">
        <v>208</v>
      </c>
      <c r="K2" s="10" t="s">
        <v>209</v>
      </c>
      <c r="L2" s="10" t="n">
        <f aca="false">COUNTIF(Case_Rule!$B:$B,A2)</f>
        <v>1</v>
      </c>
    </row>
    <row r="3" customFormat="false" ht="23.85" hidden="false" customHeight="false" outlineLevel="0" collapsed="false">
      <c r="A3" s="9" t="s">
        <v>210</v>
      </c>
      <c r="B3" s="10" t="s">
        <v>201</v>
      </c>
      <c r="C3" s="10" t="s">
        <v>211</v>
      </c>
      <c r="D3" s="10" t="s">
        <v>212</v>
      </c>
      <c r="E3" s="10" t="s">
        <v>213</v>
      </c>
      <c r="F3" s="10" t="s">
        <v>214</v>
      </c>
      <c r="G3" s="10" t="s">
        <v>215</v>
      </c>
      <c r="H3" s="10" t="s">
        <v>216</v>
      </c>
      <c r="I3" s="11" t="s">
        <v>28</v>
      </c>
      <c r="J3" s="10" t="s">
        <v>208</v>
      </c>
      <c r="K3" s="10" t="s">
        <v>209</v>
      </c>
      <c r="L3" s="10" t="n">
        <f aca="false">COUNTIF(Case_Rule!$B:$B,A3)</f>
        <v>1</v>
      </c>
    </row>
    <row r="4" customFormat="false" ht="23.85" hidden="false" customHeight="false" outlineLevel="0" collapsed="false">
      <c r="A4" s="9" t="s">
        <v>217</v>
      </c>
      <c r="B4" s="10" t="s">
        <v>201</v>
      </c>
      <c r="C4" s="10" t="s">
        <v>218</v>
      </c>
      <c r="D4" s="10" t="s">
        <v>219</v>
      </c>
      <c r="E4" s="10" t="s">
        <v>220</v>
      </c>
      <c r="F4" s="10" t="s">
        <v>221</v>
      </c>
      <c r="G4" s="10" t="s">
        <v>66</v>
      </c>
      <c r="H4" s="10" t="s">
        <v>222</v>
      </c>
      <c r="I4" s="11" t="s">
        <v>25</v>
      </c>
      <c r="J4" s="10" t="s">
        <v>208</v>
      </c>
      <c r="K4" s="10" t="s">
        <v>209</v>
      </c>
      <c r="L4" s="10" t="n">
        <f aca="false">COUNTIF(Case_Rule!$B:$B,A4)</f>
        <v>1</v>
      </c>
    </row>
    <row r="5" customFormat="false" ht="23.85" hidden="false" customHeight="false" outlineLevel="0" collapsed="false">
      <c r="A5" s="9" t="s">
        <v>223</v>
      </c>
      <c r="B5" s="10" t="s">
        <v>224</v>
      </c>
      <c r="C5" s="10" t="s">
        <v>225</v>
      </c>
      <c r="D5" s="10" t="s">
        <v>226</v>
      </c>
      <c r="E5" s="10" t="s">
        <v>227</v>
      </c>
      <c r="F5" s="10" t="s">
        <v>228</v>
      </c>
      <c r="G5" s="10" t="s">
        <v>229</v>
      </c>
      <c r="H5" s="10" t="s">
        <v>230</v>
      </c>
      <c r="I5" s="11" t="s">
        <v>25</v>
      </c>
      <c r="J5" s="10" t="s">
        <v>231</v>
      </c>
      <c r="K5" s="10" t="s">
        <v>209</v>
      </c>
      <c r="L5" s="10" t="n">
        <f aca="false">COUNTIF(Case_Rule!$B:$B,A5)</f>
        <v>1</v>
      </c>
    </row>
    <row r="6" customFormat="false" ht="23.85" hidden="false" customHeight="false" outlineLevel="0" collapsed="false">
      <c r="A6" s="9" t="s">
        <v>232</v>
      </c>
      <c r="B6" s="10" t="s">
        <v>224</v>
      </c>
      <c r="C6" s="10" t="s">
        <v>233</v>
      </c>
      <c r="D6" s="10" t="s">
        <v>234</v>
      </c>
      <c r="E6" s="10" t="s">
        <v>235</v>
      </c>
      <c r="F6" s="10" t="s">
        <v>221</v>
      </c>
      <c r="G6" s="10" t="s">
        <v>81</v>
      </c>
      <c r="H6" s="10" t="s">
        <v>236</v>
      </c>
      <c r="I6" s="11" t="s">
        <v>25</v>
      </c>
      <c r="J6" s="10" t="s">
        <v>231</v>
      </c>
      <c r="K6" s="10" t="s">
        <v>209</v>
      </c>
      <c r="L6" s="10" t="n">
        <f aca="false">COUNTIF(Case_Rule!$B:$B,A6)</f>
        <v>1</v>
      </c>
    </row>
    <row r="7" customFormat="false" ht="23.85" hidden="false" customHeight="false" outlineLevel="0" collapsed="false">
      <c r="A7" s="9" t="s">
        <v>237</v>
      </c>
      <c r="B7" s="10" t="s">
        <v>224</v>
      </c>
      <c r="C7" s="10" t="s">
        <v>238</v>
      </c>
      <c r="D7" s="10" t="s">
        <v>239</v>
      </c>
      <c r="E7" s="10" t="s">
        <v>240</v>
      </c>
      <c r="F7" s="10" t="s">
        <v>221</v>
      </c>
      <c r="G7" s="10" t="s">
        <v>241</v>
      </c>
      <c r="H7" s="10" t="s">
        <v>242</v>
      </c>
      <c r="I7" s="11" t="s">
        <v>25</v>
      </c>
      <c r="J7" s="10" t="s">
        <v>231</v>
      </c>
      <c r="K7" s="10" t="s">
        <v>209</v>
      </c>
      <c r="L7" s="10" t="n">
        <f aca="false">COUNTIF(Case_Rule!$B:$B,A7)</f>
        <v>1</v>
      </c>
    </row>
    <row r="8" customFormat="false" ht="23.85" hidden="false" customHeight="false" outlineLevel="0" collapsed="false">
      <c r="A8" s="9" t="s">
        <v>243</v>
      </c>
      <c r="B8" s="10" t="s">
        <v>224</v>
      </c>
      <c r="C8" s="10" t="s">
        <v>244</v>
      </c>
      <c r="D8" s="10" t="s">
        <v>245</v>
      </c>
      <c r="E8" s="10" t="s">
        <v>246</v>
      </c>
      <c r="F8" s="10" t="s">
        <v>221</v>
      </c>
      <c r="G8" s="10" t="s">
        <v>183</v>
      </c>
      <c r="H8" s="10" t="s">
        <v>247</v>
      </c>
      <c r="I8" s="11" t="s">
        <v>25</v>
      </c>
      <c r="J8" s="10" t="s">
        <v>248</v>
      </c>
      <c r="K8" s="10" t="s">
        <v>249</v>
      </c>
      <c r="L8" s="10" t="n">
        <f aca="false">COUNTIF(Case_Rule!$B:$B,A8)</f>
        <v>1</v>
      </c>
    </row>
    <row r="9" customFormat="false" ht="23.85" hidden="false" customHeight="false" outlineLevel="0" collapsed="false">
      <c r="A9" s="9" t="s">
        <v>250</v>
      </c>
      <c r="B9" s="10" t="s">
        <v>251</v>
      </c>
      <c r="C9" s="10" t="s">
        <v>252</v>
      </c>
      <c r="D9" s="10" t="s">
        <v>253</v>
      </c>
      <c r="E9" s="10" t="s">
        <v>254</v>
      </c>
      <c r="F9" s="10" t="s">
        <v>221</v>
      </c>
      <c r="G9" s="10" t="s">
        <v>97</v>
      </c>
      <c r="H9" s="10" t="s">
        <v>255</v>
      </c>
      <c r="I9" s="11" t="s">
        <v>25</v>
      </c>
      <c r="J9" s="10" t="s">
        <v>231</v>
      </c>
      <c r="K9" s="10" t="s">
        <v>209</v>
      </c>
      <c r="L9" s="10" t="n">
        <f aca="false">COUNTIF(Case_Rule!$B:$B,A9)</f>
        <v>1</v>
      </c>
    </row>
    <row r="10" customFormat="false" ht="23.85" hidden="false" customHeight="false" outlineLevel="0" collapsed="false">
      <c r="A10" s="9" t="s">
        <v>256</v>
      </c>
      <c r="B10" s="10" t="s">
        <v>251</v>
      </c>
      <c r="C10" s="10" t="s">
        <v>257</v>
      </c>
      <c r="D10" s="10" t="s">
        <v>258</v>
      </c>
      <c r="E10" s="10" t="s">
        <v>259</v>
      </c>
      <c r="F10" s="10" t="s">
        <v>221</v>
      </c>
      <c r="G10" s="10" t="s">
        <v>104</v>
      </c>
      <c r="H10" s="10" t="s">
        <v>260</v>
      </c>
      <c r="I10" s="11" t="s">
        <v>25</v>
      </c>
      <c r="J10" s="10" t="s">
        <v>231</v>
      </c>
      <c r="K10" s="10" t="s">
        <v>209</v>
      </c>
      <c r="L10" s="10" t="n">
        <f aca="false">COUNTIF(Case_Rule!$B:$B,A10)</f>
        <v>1</v>
      </c>
    </row>
    <row r="11" customFormat="false" ht="23.85" hidden="false" customHeight="false" outlineLevel="0" collapsed="false">
      <c r="A11" s="9" t="s">
        <v>261</v>
      </c>
      <c r="B11" s="10" t="s">
        <v>251</v>
      </c>
      <c r="C11" s="10" t="s">
        <v>262</v>
      </c>
      <c r="D11" s="10" t="s">
        <v>263</v>
      </c>
      <c r="E11" s="10" t="s">
        <v>264</v>
      </c>
      <c r="F11" s="10" t="s">
        <v>265</v>
      </c>
      <c r="G11" s="10" t="s">
        <v>266</v>
      </c>
      <c r="H11" s="10" t="s">
        <v>255</v>
      </c>
      <c r="I11" s="11" t="s">
        <v>25</v>
      </c>
      <c r="J11" s="10" t="s">
        <v>208</v>
      </c>
      <c r="K11" s="10" t="s">
        <v>209</v>
      </c>
      <c r="L11" s="10" t="n">
        <f aca="false">COUNTIF(Case_Rule!$B:$B,A11)</f>
        <v>1</v>
      </c>
    </row>
    <row r="12" customFormat="false" ht="23.85" hidden="false" customHeight="false" outlineLevel="0" collapsed="false">
      <c r="A12" s="9" t="s">
        <v>267</v>
      </c>
      <c r="B12" s="10" t="s">
        <v>114</v>
      </c>
      <c r="C12" s="10" t="s">
        <v>268</v>
      </c>
      <c r="D12" s="10" t="s">
        <v>269</v>
      </c>
      <c r="E12" s="10" t="s">
        <v>270</v>
      </c>
      <c r="F12" s="10" t="s">
        <v>221</v>
      </c>
      <c r="G12" s="10" t="s">
        <v>119</v>
      </c>
      <c r="H12" s="10" t="s">
        <v>271</v>
      </c>
      <c r="I12" s="11" t="s">
        <v>25</v>
      </c>
      <c r="J12" s="10" t="s">
        <v>231</v>
      </c>
      <c r="K12" s="10" t="s">
        <v>209</v>
      </c>
      <c r="L12" s="10" t="n">
        <f aca="false">COUNTIF(Case_Rule!$B:$B,A12)</f>
        <v>1</v>
      </c>
    </row>
    <row r="13" customFormat="false" ht="23.85" hidden="false" customHeight="false" outlineLevel="0" collapsed="false">
      <c r="A13" s="9" t="s">
        <v>272</v>
      </c>
      <c r="B13" s="10" t="s">
        <v>114</v>
      </c>
      <c r="C13" s="10" t="s">
        <v>273</v>
      </c>
      <c r="D13" s="10" t="s">
        <v>274</v>
      </c>
      <c r="E13" s="10" t="s">
        <v>275</v>
      </c>
      <c r="F13" s="10" t="s">
        <v>205</v>
      </c>
      <c r="G13" s="10" t="s">
        <v>276</v>
      </c>
      <c r="H13" s="10" t="s">
        <v>277</v>
      </c>
      <c r="I13" s="11" t="s">
        <v>25</v>
      </c>
      <c r="J13" s="10" t="s">
        <v>231</v>
      </c>
      <c r="K13" s="10" t="s">
        <v>209</v>
      </c>
      <c r="L13" s="10" t="n">
        <f aca="false">COUNTIF(Case_Rule!$B:$B,A13)</f>
        <v>1</v>
      </c>
    </row>
    <row r="14" customFormat="false" ht="23.85" hidden="false" customHeight="false" outlineLevel="0" collapsed="false">
      <c r="A14" s="9" t="s">
        <v>278</v>
      </c>
      <c r="B14" s="10" t="s">
        <v>114</v>
      </c>
      <c r="C14" s="10" t="s">
        <v>279</v>
      </c>
      <c r="D14" s="10" t="s">
        <v>280</v>
      </c>
      <c r="E14" s="10" t="s">
        <v>281</v>
      </c>
      <c r="F14" s="10" t="s">
        <v>221</v>
      </c>
      <c r="G14" s="10" t="s">
        <v>126</v>
      </c>
      <c r="H14" s="10" t="s">
        <v>282</v>
      </c>
      <c r="I14" s="11" t="s">
        <v>25</v>
      </c>
      <c r="J14" s="10" t="s">
        <v>208</v>
      </c>
      <c r="K14" s="10" t="s">
        <v>209</v>
      </c>
      <c r="L14" s="10" t="n">
        <f aca="false">COUNTIF(Case_Rule!$B:$B,A14)</f>
        <v>1</v>
      </c>
    </row>
    <row r="15" customFormat="false" ht="23.85" hidden="false" customHeight="false" outlineLevel="0" collapsed="false">
      <c r="A15" s="9" t="s">
        <v>283</v>
      </c>
      <c r="B15" s="10" t="s">
        <v>284</v>
      </c>
      <c r="C15" s="10" t="s">
        <v>285</v>
      </c>
      <c r="D15" s="10" t="s">
        <v>286</v>
      </c>
      <c r="E15" s="10" t="s">
        <v>287</v>
      </c>
      <c r="F15" s="10" t="s">
        <v>221</v>
      </c>
      <c r="G15" s="10" t="s">
        <v>288</v>
      </c>
      <c r="H15" s="10" t="s">
        <v>289</v>
      </c>
      <c r="I15" s="11" t="s">
        <v>25</v>
      </c>
      <c r="J15" s="10" t="s">
        <v>231</v>
      </c>
      <c r="K15" s="10" t="s">
        <v>209</v>
      </c>
      <c r="L15" s="10" t="n">
        <f aca="false">COUNTIF(Case_Rule!$B:$B,A15)</f>
        <v>1</v>
      </c>
    </row>
    <row r="16" customFormat="false" ht="23.85" hidden="false" customHeight="false" outlineLevel="0" collapsed="false">
      <c r="A16" s="9" t="s">
        <v>290</v>
      </c>
      <c r="B16" s="10" t="s">
        <v>284</v>
      </c>
      <c r="C16" s="10" t="s">
        <v>291</v>
      </c>
      <c r="D16" s="10" t="s">
        <v>292</v>
      </c>
      <c r="E16" s="10" t="s">
        <v>293</v>
      </c>
      <c r="F16" s="10" t="s">
        <v>221</v>
      </c>
      <c r="G16" s="10" t="s">
        <v>288</v>
      </c>
      <c r="H16" s="10" t="s">
        <v>294</v>
      </c>
      <c r="I16" s="11" t="s">
        <v>25</v>
      </c>
      <c r="J16" s="10" t="s">
        <v>231</v>
      </c>
      <c r="K16" s="10" t="s">
        <v>209</v>
      </c>
      <c r="L16" s="10" t="n">
        <f aca="false">COUNTIF(Case_Rule!$B:$B,A16)</f>
        <v>1</v>
      </c>
    </row>
    <row r="17" customFormat="false" ht="23.85" hidden="false" customHeight="false" outlineLevel="0" collapsed="false">
      <c r="A17" s="9" t="s">
        <v>295</v>
      </c>
      <c r="B17" s="10" t="s">
        <v>284</v>
      </c>
      <c r="C17" s="10" t="s">
        <v>296</v>
      </c>
      <c r="D17" s="10" t="s">
        <v>297</v>
      </c>
      <c r="E17" s="10" t="s">
        <v>298</v>
      </c>
      <c r="F17" s="10" t="s">
        <v>221</v>
      </c>
      <c r="G17" s="10" t="s">
        <v>288</v>
      </c>
      <c r="H17" s="10" t="s">
        <v>299</v>
      </c>
      <c r="I17" s="11" t="s">
        <v>25</v>
      </c>
      <c r="J17" s="10" t="s">
        <v>208</v>
      </c>
      <c r="K17" s="10" t="s">
        <v>209</v>
      </c>
      <c r="L17" s="10" t="n">
        <f aca="false">COUNTIF(Case_Rule!$B:$B,A17)</f>
        <v>1</v>
      </c>
    </row>
    <row r="18" customFormat="false" ht="23.85" hidden="false" customHeight="false" outlineLevel="0" collapsed="false">
      <c r="A18" s="9" t="s">
        <v>300</v>
      </c>
      <c r="B18" s="10" t="s">
        <v>284</v>
      </c>
      <c r="C18" s="10" t="s">
        <v>301</v>
      </c>
      <c r="D18" s="10" t="s">
        <v>302</v>
      </c>
      <c r="E18" s="10" t="s">
        <v>303</v>
      </c>
      <c r="F18" s="10" t="s">
        <v>221</v>
      </c>
      <c r="G18" s="10" t="s">
        <v>288</v>
      </c>
      <c r="H18" s="10" t="s">
        <v>304</v>
      </c>
      <c r="I18" s="11" t="s">
        <v>31</v>
      </c>
      <c r="J18" s="10" t="s">
        <v>208</v>
      </c>
      <c r="K18" s="10" t="s">
        <v>209</v>
      </c>
      <c r="L18" s="10" t="n">
        <f aca="false">COUNTIF(Case_Rule!$B:$B,A18)</f>
        <v>1</v>
      </c>
    </row>
    <row r="19" customFormat="false" ht="23.85" hidden="false" customHeight="false" outlineLevel="0" collapsed="false">
      <c r="A19" s="9" t="s">
        <v>305</v>
      </c>
      <c r="B19" s="10" t="s">
        <v>284</v>
      </c>
      <c r="C19" s="10" t="s">
        <v>306</v>
      </c>
      <c r="D19" s="10" t="s">
        <v>307</v>
      </c>
      <c r="E19" s="10" t="s">
        <v>308</v>
      </c>
      <c r="F19" s="10" t="s">
        <v>221</v>
      </c>
      <c r="G19" s="10" t="s">
        <v>161</v>
      </c>
      <c r="H19" s="10" t="s">
        <v>309</v>
      </c>
      <c r="I19" s="11" t="s">
        <v>25</v>
      </c>
      <c r="J19" s="10" t="s">
        <v>208</v>
      </c>
      <c r="K19" s="10" t="s">
        <v>249</v>
      </c>
      <c r="L19" s="10" t="n">
        <f aca="false">COUNTIF(Case_Rule!$B:$B,A19)</f>
        <v>1</v>
      </c>
    </row>
    <row r="20" customFormat="false" ht="15" hidden="false" customHeight="false" outlineLevel="0" collapsed="false">
      <c r="A20" s="9" t="s">
        <v>310</v>
      </c>
      <c r="B20" s="10" t="s">
        <v>311</v>
      </c>
      <c r="C20" s="10" t="s">
        <v>312</v>
      </c>
      <c r="D20" s="10" t="s">
        <v>313</v>
      </c>
      <c r="E20" s="10" t="s">
        <v>314</v>
      </c>
      <c r="F20" s="10" t="s">
        <v>265</v>
      </c>
      <c r="G20" s="10" t="s">
        <v>169</v>
      </c>
      <c r="H20" s="10" t="s">
        <v>315</v>
      </c>
      <c r="I20" s="11" t="s">
        <v>25</v>
      </c>
      <c r="J20" s="10" t="s">
        <v>231</v>
      </c>
      <c r="K20" s="10" t="s">
        <v>209</v>
      </c>
      <c r="L20" s="10" t="n">
        <f aca="false">COUNTIF(Case_Rule!$B:$B,A20)</f>
        <v>1</v>
      </c>
    </row>
    <row r="21" customFormat="false" ht="23.85" hidden="false" customHeight="false" outlineLevel="0" collapsed="false">
      <c r="A21" s="9" t="s">
        <v>316</v>
      </c>
      <c r="B21" s="10" t="s">
        <v>311</v>
      </c>
      <c r="C21" s="10" t="s">
        <v>317</v>
      </c>
      <c r="D21" s="10" t="s">
        <v>318</v>
      </c>
      <c r="E21" s="10" t="s">
        <v>319</v>
      </c>
      <c r="F21" s="10" t="s">
        <v>320</v>
      </c>
      <c r="G21" s="10" t="s">
        <v>176</v>
      </c>
      <c r="H21" s="10" t="s">
        <v>321</v>
      </c>
      <c r="I21" s="11" t="s">
        <v>25</v>
      </c>
      <c r="J21" s="10" t="s">
        <v>248</v>
      </c>
      <c r="K21" s="10" t="s">
        <v>209</v>
      </c>
      <c r="L21" s="10" t="n">
        <f aca="false">COUNTIF(Case_Rule!$B:$B,A21)</f>
        <v>2</v>
      </c>
    </row>
    <row r="22" customFormat="false" ht="23.85" hidden="false" customHeight="false" outlineLevel="0" collapsed="false">
      <c r="A22" s="9" t="s">
        <v>322</v>
      </c>
      <c r="B22" s="10" t="s">
        <v>311</v>
      </c>
      <c r="C22" s="10" t="s">
        <v>187</v>
      </c>
      <c r="D22" s="10" t="s">
        <v>323</v>
      </c>
      <c r="E22" s="10" t="s">
        <v>324</v>
      </c>
      <c r="F22" s="10" t="s">
        <v>214</v>
      </c>
      <c r="G22" s="10" t="s">
        <v>189</v>
      </c>
      <c r="H22" s="10" t="s">
        <v>315</v>
      </c>
      <c r="I22" s="11" t="s">
        <v>25</v>
      </c>
      <c r="J22" s="10" t="s">
        <v>231</v>
      </c>
      <c r="K22" s="10" t="s">
        <v>249</v>
      </c>
      <c r="L22" s="10" t="n">
        <f aca="false">COUNTIF(Case_Rule!$B:$B,A22)</f>
        <v>1</v>
      </c>
    </row>
  </sheetData>
  <autoFilter ref="A1:L22"/>
  <dataValidations count="2">
    <dataValidation allowBlank="true" errorStyle="stop" operator="between" showDropDown="false" showErrorMessage="false" showInputMessage="false" sqref="J2:J22" type="list">
      <formula1>"Direct,Indirect,Weak"</formula1>
      <formula2>0</formula2>
    </dataValidation>
    <dataValidation allowBlank="true" errorStyle="stop" operator="between" showDropDown="false" showErrorMessage="false" showInputMessage="false" sqref="K2:K22" type="list">
      <formula1>"Confirmed,Candidate"</formula1>
      <formula2>0</formula2>
    </dataValidation>
  </dataValidations>
  <hyperlinks>
    <hyperlink ref="I2" r:id="rId1" display="https://adilet.zan.kz/rus/docs/V2000020075"/>
    <hyperlink ref="I3" r:id="rId2" display="https://adilet.zan.kz/rus/docs/V2000020075"/>
    <hyperlink ref="I4" r:id="rId3" display="https://adilet.zan.kz/rus/docs/V1900019680"/>
    <hyperlink ref="I5" r:id="rId4" display="https://adilet.zan.kz/rus/docs/V1900019680"/>
    <hyperlink ref="I6" r:id="rId5" display="https://adilet.zan.kz/rus/docs/V1900019680"/>
    <hyperlink ref="I7" r:id="rId6" display="https://adilet.zan.kz/rus/docs/V1900019680"/>
    <hyperlink ref="I8" r:id="rId7" display="https://adilet.zan.kz/rus/docs/V1900019680"/>
    <hyperlink ref="I9" r:id="rId8" display="https://adilet.zan.kz/rus/docs/V1900019680"/>
    <hyperlink ref="I10" r:id="rId9" display="https://adilet.zan.kz/rus/docs/V1900019680"/>
    <hyperlink ref="I11" r:id="rId10" display="https://adilet.zan.kz/rus/docs/V1900019680"/>
    <hyperlink ref="I12" r:id="rId11" display="https://adilet.zan.kz/rus/docs/V1900019680"/>
    <hyperlink ref="I13" r:id="rId12" display="https://adilet.zan.kz/rus/docs/V1900019680"/>
    <hyperlink ref="I14" r:id="rId13" display="https://adilet.zan.kz/rus/docs/V1900019680"/>
    <hyperlink ref="I15" r:id="rId14" display="https://adilet.zan.kz/rus/docs/V1900019680"/>
    <hyperlink ref="I16" r:id="rId15" display="https://adilet.zan.kz/rus/docs/V1900019680"/>
    <hyperlink ref="I17" r:id="rId16" display="https://adilet.zan.kz/rus/docs/V1900019680"/>
    <hyperlink ref="I18" r:id="rId17" display="https://adilet.zan.kz/rus/docs/V1800016772"/>
    <hyperlink ref="I19" r:id="rId18" display="https://adilet.zan.kz/rus/docs/V1900019680"/>
    <hyperlink ref="I20" r:id="rId19" display="https://adilet.zan.kz/rus/docs/V1900019680"/>
    <hyperlink ref="I21" r:id="rId20" display="https://adilet.zan.kz/rus/docs/V1900019680"/>
    <hyperlink ref="I22" r:id="rId21" display="https://adilet.zan.kz/rus/docs/V19000196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40"/>
    <col collapsed="false" customWidth="true" hidden="false" outlineLevel="0" max="5" min="5" style="0" width="12"/>
  </cols>
  <sheetData>
    <row r="1" customFormat="false" ht="23.85" hidden="false" customHeight="false" outlineLevel="0" collapsed="false">
      <c r="A1" s="8" t="s">
        <v>32</v>
      </c>
      <c r="B1" s="8" t="s">
        <v>191</v>
      </c>
      <c r="C1" s="8" t="s">
        <v>325</v>
      </c>
      <c r="D1" s="8" t="s">
        <v>326</v>
      </c>
      <c r="E1" s="8" t="s">
        <v>327</v>
      </c>
    </row>
    <row r="2" customFormat="false" ht="15" hidden="false" customHeight="false" outlineLevel="0" collapsed="false">
      <c r="A2" s="9" t="s">
        <v>43</v>
      </c>
      <c r="B2" s="10" t="s">
        <v>200</v>
      </c>
      <c r="C2" s="10" t="str">
        <f aca="false">IFERROR(INDEX(Cases!$B:$B,MATCH(A2,Cases!$A:$A,0)),"unknown case")</f>
        <v>Door left unlocked on entry</v>
      </c>
      <c r="D2" s="10" t="str">
        <f aca="false">IFERROR(INDEX(Rules!$H:$H,MATCH(B2,Rules!$A:$A,0)),"unknown rule")</f>
        <v>NBRK 14, п.8, п.16(1)</v>
      </c>
      <c r="E2" s="10" t="str">
        <f aca="false">IFERROR(INDEX(Rules!$J:$J,MATCH(B2,Rules!$A:$A,0)),"")</f>
        <v>Indirect</v>
      </c>
    </row>
    <row r="3" customFormat="false" ht="15" hidden="false" customHeight="false" outlineLevel="0" collapsed="false">
      <c r="A3" s="9" t="s">
        <v>52</v>
      </c>
      <c r="B3" s="10" t="s">
        <v>210</v>
      </c>
      <c r="C3" s="10" t="str">
        <f aca="false">IFERROR(INDEX(Cases!$B:$B,MATCH(A3,Cases!$A:$A,0)),"unknown case")</f>
        <v>Outsider in the cash room</v>
      </c>
      <c r="D3" s="10" t="str">
        <f aca="false">IFERROR(INDEX(Rules!$H:$H,MATCH(B3,Rules!$A:$A,0)),"unknown rule")</f>
        <v>NBRK 14, п.8; NBRK 231, п.75</v>
      </c>
      <c r="E3" s="10" t="str">
        <f aca="false">IFERROR(INDEX(Rules!$J:$J,MATCH(B3,Rules!$A:$A,0)),"")</f>
        <v>Indirect</v>
      </c>
    </row>
    <row r="4" customFormat="false" ht="15" hidden="false" customHeight="false" outlineLevel="0" collapsed="false">
      <c r="A4" s="9" t="s">
        <v>59</v>
      </c>
      <c r="B4" s="10" t="s">
        <v>217</v>
      </c>
      <c r="C4" s="10" t="str">
        <f aca="false">IFERROR(INDEX(Cases!$B:$B,MATCH(A4,Cases!$A:$A,0)),"unknown case")</f>
        <v>Second person during a service</v>
      </c>
      <c r="D4" s="10" t="str">
        <f aca="false">IFERROR(INDEX(Rules!$H:$H,MATCH(B4,Rules!$A:$A,0)),"unknown rule")</f>
        <v>NBRK 231, п.21, п.22</v>
      </c>
      <c r="E4" s="10" t="str">
        <f aca="false">IFERROR(INDEX(Rules!$J:$J,MATCH(B4,Rules!$A:$A,0)),"")</f>
        <v>Indirect</v>
      </c>
    </row>
    <row r="5" customFormat="false" ht="15" hidden="false" customHeight="false" outlineLevel="0" collapsed="false">
      <c r="A5" s="9" t="s">
        <v>67</v>
      </c>
      <c r="B5" s="10" t="s">
        <v>223</v>
      </c>
      <c r="C5" s="10" t="str">
        <f aca="false">IFERROR(INDEX(Cases!$B:$B,MATCH(A5,Cases!$A:$A,0)),"unknown case")</f>
        <v>Cash accepted without ID</v>
      </c>
      <c r="D5" s="10" t="str">
        <f aca="false">IFERROR(INDEX(Rules!$H:$H,MATCH(B5,Rules!$A:$A,0)),"unknown rule")</f>
        <v>NBRK 231, п.7, п.19 пп.1, п.31 пп.1</v>
      </c>
      <c r="E5" s="10" t="str">
        <f aca="false">IFERROR(INDEX(Rules!$J:$J,MATCH(B5,Rules!$A:$A,0)),"")</f>
        <v>Direct</v>
      </c>
    </row>
    <row r="6" customFormat="false" ht="15" hidden="false" customHeight="false" outlineLevel="0" collapsed="false">
      <c r="A6" s="9" t="s">
        <v>75</v>
      </c>
      <c r="B6" s="10" t="s">
        <v>232</v>
      </c>
      <c r="C6" s="10" t="str">
        <f aca="false">IFERROR(INDEX(Cases!$B:$B,MATCH(A6,Cases!$A:$A,0)),"unknown case")</f>
        <v>Client leaves before the count</v>
      </c>
      <c r="D6" s="10" t="str">
        <f aca="false">IFERROR(INDEX(Rules!$H:$H,MATCH(B6,Rules!$A:$A,0)),"unknown rule")</f>
        <v>NBRK 231, п.19 пп.2, п.20</v>
      </c>
      <c r="E6" s="10" t="str">
        <f aca="false">IFERROR(INDEX(Rules!$J:$J,MATCH(B6,Rules!$A:$A,0)),"")</f>
        <v>Direct</v>
      </c>
    </row>
    <row r="7" customFormat="false" ht="15" hidden="false" customHeight="false" outlineLevel="0" collapsed="false">
      <c r="A7" s="9" t="s">
        <v>82</v>
      </c>
      <c r="B7" s="10" t="s">
        <v>237</v>
      </c>
      <c r="C7" s="10" t="str">
        <f aca="false">IFERROR(INDEX(Cases!$B:$B,MATCH(A7,Cases!$A:$A,0)),"unknown case")</f>
        <v>Doubtful note returned to client</v>
      </c>
      <c r="D7" s="10" t="str">
        <f aca="false">IFERROR(INDEX(Rules!$H:$H,MATCH(B7,Rules!$A:$A,0)),"unknown rule")</f>
        <v>NBRK 231, п.59-61</v>
      </c>
      <c r="E7" s="10" t="str">
        <f aca="false">IFERROR(INDEX(Rules!$J:$J,MATCH(B7,Rules!$A:$A,0)),"")</f>
        <v>Direct</v>
      </c>
    </row>
    <row r="8" customFormat="false" ht="15" hidden="false" customHeight="false" outlineLevel="0" collapsed="false">
      <c r="A8" s="9" t="s">
        <v>90</v>
      </c>
      <c r="B8" s="10" t="s">
        <v>250</v>
      </c>
      <c r="C8" s="10" t="str">
        <f aca="false">IFERROR(INDEX(Cases!$B:$B,MATCH(A8,Cases!$A:$A,0)),"unknown case")</f>
        <v>Next client while previous cash is on the desk</v>
      </c>
      <c r="D8" s="10" t="str">
        <f aca="false">IFERROR(INDEX(Rules!$H:$H,MATCH(B8,Rules!$A:$A,0)),"unknown rule")</f>
        <v>NBRK 231, п.20</v>
      </c>
      <c r="E8" s="10" t="str">
        <f aca="false">IFERROR(INDEX(Rules!$J:$J,MATCH(B8,Rules!$A:$A,0)),"")</f>
        <v>Direct</v>
      </c>
    </row>
    <row r="9" customFormat="false" ht="15" hidden="false" customHeight="false" outlineLevel="0" collapsed="false">
      <c r="A9" s="9" t="s">
        <v>98</v>
      </c>
      <c r="B9" s="10" t="s">
        <v>256</v>
      </c>
      <c r="C9" s="10" t="str">
        <f aca="false">IFERROR(INDEX(Cases!$B:$B,MATCH(A9,Cases!$A:$A,0)),"unknown case")</f>
        <v>Cash of two clients merged</v>
      </c>
      <c r="D9" s="10" t="str">
        <f aca="false">IFERROR(INDEX(Rules!$H:$H,MATCH(B9,Rules!$A:$A,0)),"unknown rule")</f>
        <v>NBRK 231, п.20, п.21</v>
      </c>
      <c r="E9" s="10" t="str">
        <f aca="false">IFERROR(INDEX(Rules!$J:$J,MATCH(B9,Rules!$A:$A,0)),"")</f>
        <v>Direct</v>
      </c>
    </row>
    <row r="10" customFormat="false" ht="15" hidden="false" customHeight="false" outlineLevel="0" collapsed="false">
      <c r="A10" s="9" t="s">
        <v>105</v>
      </c>
      <c r="B10" s="10" t="s">
        <v>261</v>
      </c>
      <c r="C10" s="10" t="str">
        <f aca="false">IFERROR(INDEX(Cases!$B:$B,MATCH(A10,Cases!$A:$A,0)),"unknown case")</f>
        <v>Safe left open while working</v>
      </c>
      <c r="D10" s="10" t="str">
        <f aca="false">IFERROR(INDEX(Rules!$H:$H,MATCH(B10,Rules!$A:$A,0)),"unknown rule")</f>
        <v>NBRK 231, п.20</v>
      </c>
      <c r="E10" s="10" t="str">
        <f aca="false">IFERROR(INDEX(Rules!$J:$J,MATCH(B10,Rules!$A:$A,0)),"")</f>
        <v>Indirect</v>
      </c>
    </row>
    <row r="11" customFormat="false" ht="15" hidden="false" customHeight="false" outlineLevel="0" collapsed="false">
      <c r="A11" s="9" t="s">
        <v>112</v>
      </c>
      <c r="B11" s="10" t="s">
        <v>267</v>
      </c>
      <c r="C11" s="10" t="str">
        <f aca="false">IFERROR(INDEX(Cases!$B:$B,MATCH(A11,Cases!$A:$A,0)),"unknown case")</f>
        <v>Collector handover without checks</v>
      </c>
      <c r="D11" s="10" t="str">
        <f aca="false">IFERROR(INDEX(Rules!$H:$H,MATCH(B11,Rules!$A:$A,0)),"unknown rule")</f>
        <v>NBRK 231, п.24 пп.1-2 (п.106-107 to read)</v>
      </c>
      <c r="E11" s="10" t="str">
        <f aca="false">IFERROR(INDEX(Rules!$J:$J,MATCH(B11,Rules!$A:$A,0)),"")</f>
        <v>Direct</v>
      </c>
    </row>
    <row r="12" customFormat="false" ht="15" hidden="false" customHeight="false" outlineLevel="0" collapsed="false">
      <c r="A12" s="9" t="s">
        <v>112</v>
      </c>
      <c r="B12" s="10" t="s">
        <v>272</v>
      </c>
      <c r="C12" s="10" t="str">
        <f aca="false">IFERROR(INDEX(Cases!$B:$B,MATCH(A12,Cases!$A:$A,0)),"unknown case")</f>
        <v>Collector handover without checks</v>
      </c>
      <c r="D12" s="10" t="str">
        <f aca="false">IFERROR(INDEX(Rules!$H:$H,MATCH(B12,Rules!$A:$A,0)),"unknown rule")</f>
        <v>NBRK 231, п.24 пп.3-4, п.25, п.94</v>
      </c>
      <c r="E12" s="10" t="str">
        <f aca="false">IFERROR(INDEX(Rules!$J:$J,MATCH(B12,Rules!$A:$A,0)),"")</f>
        <v>Direct</v>
      </c>
    </row>
    <row r="13" customFormat="false" ht="15" hidden="false" customHeight="false" outlineLevel="0" collapsed="false">
      <c r="A13" s="9" t="s">
        <v>120</v>
      </c>
      <c r="B13" s="10" t="s">
        <v>278</v>
      </c>
      <c r="C13" s="10" t="str">
        <f aca="false">IFERROR(INDEX(Cases!$B:$B,MATCH(A13,Cases!$A:$A,0)),"unknown case")</f>
        <v>Bag contents stored without recount</v>
      </c>
      <c r="D13" s="10" t="str">
        <f aca="false">IFERROR(INDEX(Rules!$H:$H,MATCH(B13,Rules!$A:$A,0)),"unknown rule")</f>
        <v>NBRK 231, п.42, п.74</v>
      </c>
      <c r="E13" s="10" t="str">
        <f aca="false">IFERROR(INDEX(Rules!$J:$J,MATCH(B13,Rules!$A:$A,0)),"")</f>
        <v>Indirect</v>
      </c>
    </row>
    <row r="14" customFormat="false" ht="15" hidden="false" customHeight="false" outlineLevel="0" collapsed="false">
      <c r="A14" s="9" t="s">
        <v>127</v>
      </c>
      <c r="B14" s="10" t="s">
        <v>283</v>
      </c>
      <c r="C14" s="10" t="str">
        <f aca="false">IFERROR(INDEX(Cases!$B:$B,MATCH(A14,Cases!$A:$A,0)),"unknown case")</f>
        <v>Leaves with cash on the desk</v>
      </c>
      <c r="D14" s="10" t="str">
        <f aca="false">IFERROR(INDEX(Rules!$H:$H,MATCH(B14,Rules!$A:$A,0)),"unknown rule")</f>
        <v>NBRK 231, п.20, п.22</v>
      </c>
      <c r="E14" s="10" t="str">
        <f aca="false">IFERROR(INDEX(Rules!$J:$J,MATCH(B14,Rules!$A:$A,0)),"")</f>
        <v>Direct</v>
      </c>
    </row>
    <row r="15" customFormat="false" ht="15" hidden="false" customHeight="false" outlineLevel="0" collapsed="false">
      <c r="A15" s="9" t="s">
        <v>135</v>
      </c>
      <c r="B15" s="10" t="s">
        <v>290</v>
      </c>
      <c r="C15" s="10" t="str">
        <f aca="false">IFERROR(INDEX(Cases!$B:$B,MATCH(A15,Cases!$A:$A,0)),"unknown case")</f>
        <v>Leaves with cash bag on the desk</v>
      </c>
      <c r="D15" s="10" t="str">
        <f aca="false">IFERROR(INDEX(Rules!$H:$H,MATCH(B15,Rules!$A:$A,0)),"unknown rule")</f>
        <v>NBRK 231, п.20, п.80</v>
      </c>
      <c r="E15" s="10" t="str">
        <f aca="false">IFERROR(INDEX(Rules!$J:$J,MATCH(B15,Rules!$A:$A,0)),"")</f>
        <v>Direct</v>
      </c>
    </row>
    <row r="16" customFormat="false" ht="15" hidden="false" customHeight="false" outlineLevel="0" collapsed="false">
      <c r="A16" s="9" t="s">
        <v>141</v>
      </c>
      <c r="B16" s="10" t="s">
        <v>295</v>
      </c>
      <c r="C16" s="10" t="str">
        <f aca="false">IFERROR(INDEX(Cases!$B:$B,MATCH(A16,Cases!$A:$A,0)),"unknown case")</f>
        <v>Leaves with documents on the desk</v>
      </c>
      <c r="D16" s="10" t="str">
        <f aca="false">IFERROR(INDEX(Rules!$H:$H,MATCH(B16,Rules!$A:$A,0)),"unknown rule")</f>
        <v>NBRK 231, п.80</v>
      </c>
      <c r="E16" s="10" t="str">
        <f aca="false">IFERROR(INDEX(Rules!$J:$J,MATCH(B16,Rules!$A:$A,0)),"")</f>
        <v>Indirect</v>
      </c>
    </row>
    <row r="17" customFormat="false" ht="23.85" hidden="false" customHeight="false" outlineLevel="0" collapsed="false">
      <c r="A17" s="9" t="s">
        <v>141</v>
      </c>
      <c r="B17" s="10" t="s">
        <v>316</v>
      </c>
      <c r="C17" s="10" t="str">
        <f aca="false">IFERROR(INDEX(Cases!$B:$B,MATCH(A17,Cases!$A:$A,0)),"unknown case")</f>
        <v>Leaves with documents on the desk</v>
      </c>
      <c r="D17" s="10" t="str">
        <f aca="false">IFERROR(INDEX(Rules!$H:$H,MATCH(B17,Rules!$A:$A,0)),"unknown rule")</f>
        <v>No explicit clause found; nearest NBRK 231, п.12</v>
      </c>
      <c r="E17" s="10" t="str">
        <f aca="false">IFERROR(INDEX(Rules!$J:$J,MATCH(B17,Rules!$A:$A,0)),"")</f>
        <v>Weak</v>
      </c>
    </row>
    <row r="18" customFormat="false" ht="23.85" hidden="false" customHeight="false" outlineLevel="0" collapsed="false">
      <c r="A18" s="9" t="s">
        <v>147</v>
      </c>
      <c r="B18" s="10" t="s">
        <v>300</v>
      </c>
      <c r="C18" s="10" t="str">
        <f aca="false">IFERROR(INDEX(Cases!$B:$B,MATCH(A18,Cases!$A:$A,0)),"unknown case")</f>
        <v>Leaves with the computer unlocked</v>
      </c>
      <c r="D18" s="10" t="str">
        <f aca="false">IFERROR(INDEX(Rules!$H:$H,MATCH(B18,Rules!$A:$A,0)),"unknown rule")</f>
        <v>NBRK 48, п.71 пп.9 (repealed; successor to confirm)</v>
      </c>
      <c r="E18" s="10" t="str">
        <f aca="false">IFERROR(INDEX(Rules!$J:$J,MATCH(B18,Rules!$A:$A,0)),"")</f>
        <v>Indirect</v>
      </c>
    </row>
    <row r="19" customFormat="false" ht="15" hidden="false" customHeight="false" outlineLevel="0" collapsed="false">
      <c r="A19" s="9" t="s">
        <v>154</v>
      </c>
      <c r="B19" s="10" t="s">
        <v>305</v>
      </c>
      <c r="C19" s="10" t="str">
        <f aca="false">IFERROR(INDEX(Cases!$B:$B,MATCH(A19,Cases!$A:$A,0)),"unknown case")</f>
        <v>End-of-day exit, breach unclear</v>
      </c>
      <c r="D19" s="10" t="str">
        <f aca="false">IFERROR(INDEX(Rules!$H:$H,MATCH(B19,Rules!$A:$A,0)),"unknown rule")</f>
        <v>NBRK 231, п.20, п.78</v>
      </c>
      <c r="E19" s="10" t="str">
        <f aca="false">IFERROR(INDEX(Rules!$J:$J,MATCH(B19,Rules!$A:$A,0)),"")</f>
        <v>Indirect</v>
      </c>
    </row>
    <row r="20" customFormat="false" ht="15" hidden="false" customHeight="false" outlineLevel="0" collapsed="false">
      <c r="A20" s="9" t="s">
        <v>162</v>
      </c>
      <c r="B20" s="10" t="s">
        <v>310</v>
      </c>
      <c r="C20" s="10" t="str">
        <f aca="false">IFERROR(INDEX(Cases!$B:$B,MATCH(A20,Cases!$A:$A,0)),"unknown case")</f>
        <v>Personal items on the cash desk</v>
      </c>
      <c r="D20" s="10" t="str">
        <f aca="false">IFERROR(INDEX(Rules!$H:$H,MATCH(B20,Rules!$A:$A,0)),"unknown rule")</f>
        <v>NBRK 231, п.12</v>
      </c>
      <c r="E20" s="10" t="str">
        <f aca="false">IFERROR(INDEX(Rules!$J:$J,MATCH(B20,Rules!$A:$A,0)),"")</f>
        <v>Direct</v>
      </c>
    </row>
    <row r="21" customFormat="false" ht="23.85" hidden="false" customHeight="false" outlineLevel="0" collapsed="false">
      <c r="A21" s="9" t="s">
        <v>170</v>
      </c>
      <c r="B21" s="10" t="s">
        <v>316</v>
      </c>
      <c r="C21" s="10" t="str">
        <f aca="false">IFERROR(INDEX(Cases!$B:$B,MATCH(A21,Cases!$A:$A,0)),"unknown case")</f>
        <v>Eating or drinking at the desk</v>
      </c>
      <c r="D21" s="10" t="str">
        <f aca="false">IFERROR(INDEX(Rules!$H:$H,MATCH(B21,Rules!$A:$A,0)),"unknown rule")</f>
        <v>No explicit clause found; nearest NBRK 231, п.12</v>
      </c>
      <c r="E21" s="10" t="str">
        <f aca="false">IFERROR(INDEX(Rules!$J:$J,MATCH(B21,Rules!$A:$A,0)),"")</f>
        <v>Weak</v>
      </c>
    </row>
    <row r="22" customFormat="false" ht="15" hidden="false" customHeight="false" outlineLevel="0" collapsed="false">
      <c r="A22" s="9" t="s">
        <v>177</v>
      </c>
      <c r="B22" s="10" t="s">
        <v>243</v>
      </c>
      <c r="C22" s="10" t="str">
        <f aca="false">IFERROR(INDEX(Cases!$B:$B,MATCH(A22,Cases!$A:$A,0)),"unknown case")</f>
        <v>Notes re-stacked without the detector</v>
      </c>
      <c r="D22" s="10" t="str">
        <f aca="false">IFERROR(INDEX(Rules!$H:$H,MATCH(B22,Rules!$A:$A,0)),"unknown rule")</f>
        <v>NBRK 231, п.9, п.59</v>
      </c>
      <c r="E22" s="10" t="str">
        <f aca="false">IFERROR(INDEX(Rules!$J:$J,MATCH(B22,Rules!$A:$A,0)),"")</f>
        <v>Weak</v>
      </c>
    </row>
    <row r="23" customFormat="false" ht="15" hidden="false" customHeight="false" outlineLevel="0" collapsed="false">
      <c r="A23" s="9" t="s">
        <v>184</v>
      </c>
      <c r="B23" s="10" t="s">
        <v>322</v>
      </c>
      <c r="C23" s="10" t="str">
        <f aca="false">IFERROR(INDEX(Cases!$B:$B,MATCH(A23,Cases!$A:$A,0)),"unknown case")</f>
        <v>Camera phone at the cash desk</v>
      </c>
      <c r="D23" s="10" t="str">
        <f aca="false">IFERROR(INDEX(Rules!$H:$H,MATCH(B23,Rules!$A:$A,0)),"unknown rule")</f>
        <v>NBRK 231, п.12</v>
      </c>
      <c r="E23" s="10" t="str">
        <f aca="false">IFERROR(INDEX(Rules!$J:$J,MATCH(B23,Rules!$A:$A,0)),"")</f>
        <v>Direct</v>
      </c>
    </row>
  </sheetData>
  <autoFilter ref="A1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54"/>
    <col collapsed="false" customWidth="true" hidden="false" outlineLevel="0" max="8" min="7" style="0" width="11"/>
    <col collapsed="false" customWidth="true" hidden="false" outlineLevel="0" max="9" min="9" style="0" width="20"/>
  </cols>
  <sheetData>
    <row r="1" customFormat="false" ht="35.05" hidden="false" customHeight="false" outlineLevel="0" collapsed="false">
      <c r="A1" s="8" t="s">
        <v>328</v>
      </c>
      <c r="B1" s="8" t="s">
        <v>329</v>
      </c>
      <c r="C1" s="8" t="s">
        <v>330</v>
      </c>
      <c r="D1" s="8" t="s">
        <v>331</v>
      </c>
      <c r="E1" s="8" t="s">
        <v>332</v>
      </c>
      <c r="F1" s="8" t="s">
        <v>333</v>
      </c>
      <c r="G1" s="8" t="s">
        <v>16</v>
      </c>
      <c r="H1" s="8" t="s">
        <v>334</v>
      </c>
      <c r="I1" s="8" t="s">
        <v>335</v>
      </c>
    </row>
    <row r="2" customFormat="false" ht="23.85" hidden="false" customHeight="false" outlineLevel="0" collapsed="false">
      <c r="A2" s="9" t="s">
        <v>336</v>
      </c>
      <c r="B2" s="10" t="n">
        <v>22</v>
      </c>
      <c r="C2" s="10" t="s">
        <v>337</v>
      </c>
      <c r="D2" s="10" t="s">
        <v>82</v>
      </c>
      <c r="E2" s="10" t="s">
        <v>337</v>
      </c>
      <c r="F2" s="10" t="s">
        <v>338</v>
      </c>
      <c r="G2" s="10" t="s">
        <v>89</v>
      </c>
      <c r="H2" s="10"/>
      <c r="I2" s="10" t="s">
        <v>339</v>
      </c>
    </row>
    <row r="3" customFormat="false" ht="15" hidden="false" customHeight="false" outlineLevel="0" collapsed="false">
      <c r="A3" s="9" t="s">
        <v>340</v>
      </c>
      <c r="B3" s="10" t="n">
        <v>10</v>
      </c>
      <c r="C3" s="10" t="s">
        <v>337</v>
      </c>
      <c r="D3" s="10" t="s">
        <v>67</v>
      </c>
      <c r="E3" s="10" t="s">
        <v>337</v>
      </c>
      <c r="F3" s="10" t="s">
        <v>341</v>
      </c>
      <c r="G3" s="10" t="s">
        <v>74</v>
      </c>
      <c r="H3" s="10"/>
      <c r="I3" s="10" t="s">
        <v>339</v>
      </c>
    </row>
    <row r="4" customFormat="false" ht="15" hidden="false" customHeight="false" outlineLevel="0" collapsed="false">
      <c r="A4" s="9" t="s">
        <v>87</v>
      </c>
      <c r="B4" s="10"/>
      <c r="C4" s="10" t="s">
        <v>342</v>
      </c>
      <c r="D4" s="10" t="s">
        <v>67</v>
      </c>
      <c r="E4" s="10" t="s">
        <v>343</v>
      </c>
      <c r="F4" s="10" t="s">
        <v>344</v>
      </c>
      <c r="G4" s="10"/>
      <c r="H4" s="10"/>
      <c r="I4" s="10" t="s">
        <v>339</v>
      </c>
    </row>
    <row r="5" customFormat="false" ht="15" hidden="false" customHeight="false" outlineLevel="0" collapsed="false">
      <c r="A5" s="9" t="s">
        <v>345</v>
      </c>
      <c r="B5" s="10" t="n">
        <v>57</v>
      </c>
      <c r="C5" s="10" t="s">
        <v>337</v>
      </c>
      <c r="D5" s="10" t="s">
        <v>90</v>
      </c>
      <c r="E5" s="10" t="s">
        <v>337</v>
      </c>
      <c r="F5" s="10" t="s">
        <v>346</v>
      </c>
      <c r="G5" s="10" t="s">
        <v>51</v>
      </c>
      <c r="H5" s="10"/>
      <c r="I5" s="10" t="s">
        <v>339</v>
      </c>
    </row>
    <row r="6" customFormat="false" ht="15" hidden="false" customHeight="false" outlineLevel="0" collapsed="false">
      <c r="A6" s="9" t="s">
        <v>103</v>
      </c>
      <c r="B6" s="10"/>
      <c r="C6" s="10" t="s">
        <v>342</v>
      </c>
      <c r="D6" s="10" t="s">
        <v>90</v>
      </c>
      <c r="E6" s="10" t="s">
        <v>343</v>
      </c>
      <c r="F6" s="10" t="s">
        <v>347</v>
      </c>
      <c r="G6" s="10"/>
      <c r="H6" s="10"/>
      <c r="I6" s="10" t="s">
        <v>339</v>
      </c>
    </row>
    <row r="7" customFormat="false" ht="15" hidden="false" customHeight="false" outlineLevel="0" collapsed="false">
      <c r="A7" s="9" t="s">
        <v>348</v>
      </c>
      <c r="B7" s="10"/>
      <c r="C7" s="10" t="s">
        <v>342</v>
      </c>
      <c r="D7" s="10" t="s">
        <v>105</v>
      </c>
      <c r="E7" s="10" t="s">
        <v>343</v>
      </c>
      <c r="F7" s="10" t="s">
        <v>349</v>
      </c>
      <c r="G7" s="10"/>
      <c r="H7" s="10"/>
      <c r="I7" s="10" t="s">
        <v>350</v>
      </c>
    </row>
    <row r="8" customFormat="false" ht="15" hidden="false" customHeight="false" outlineLevel="0" collapsed="false">
      <c r="A8" s="9" t="s">
        <v>351</v>
      </c>
      <c r="B8" s="10"/>
      <c r="C8" s="10" t="s">
        <v>342</v>
      </c>
      <c r="D8" s="10" t="s">
        <v>170</v>
      </c>
      <c r="E8" s="10" t="s">
        <v>343</v>
      </c>
      <c r="F8" s="10" t="s">
        <v>352</v>
      </c>
      <c r="G8" s="10"/>
      <c r="H8" s="10"/>
      <c r="I8" s="10" t="s">
        <v>350</v>
      </c>
    </row>
    <row r="9" customFormat="false" ht="15" hidden="false" customHeight="false" outlineLevel="0" collapsed="false">
      <c r="A9" s="9" t="s">
        <v>353</v>
      </c>
      <c r="B9" s="10" t="n">
        <v>18</v>
      </c>
      <c r="C9" s="10" t="s">
        <v>337</v>
      </c>
      <c r="D9" s="10" t="s">
        <v>147</v>
      </c>
      <c r="E9" s="10" t="s">
        <v>337</v>
      </c>
      <c r="F9" s="10" t="s">
        <v>354</v>
      </c>
      <c r="G9" s="10" t="s">
        <v>51</v>
      </c>
      <c r="H9" s="10"/>
      <c r="I9" s="10" t="s">
        <v>350</v>
      </c>
    </row>
    <row r="10" customFormat="false" ht="15" hidden="false" customHeight="false" outlineLevel="0" collapsed="false">
      <c r="A10" s="9" t="s">
        <v>355</v>
      </c>
      <c r="B10" s="10"/>
      <c r="C10" s="10" t="s">
        <v>342</v>
      </c>
      <c r="D10" s="10" t="s">
        <v>147</v>
      </c>
      <c r="E10" s="10" t="s">
        <v>343</v>
      </c>
      <c r="F10" s="10" t="s">
        <v>356</v>
      </c>
      <c r="G10" s="10"/>
      <c r="H10" s="10"/>
      <c r="I10" s="10" t="s">
        <v>350</v>
      </c>
    </row>
    <row r="11" customFormat="false" ht="15" hidden="false" customHeight="false" outlineLevel="0" collapsed="false">
      <c r="A11" s="9" t="s">
        <v>357</v>
      </c>
      <c r="B11" s="10" t="n">
        <v>47</v>
      </c>
      <c r="C11" s="10" t="s">
        <v>337</v>
      </c>
      <c r="D11" s="10" t="s">
        <v>120</v>
      </c>
      <c r="E11" s="10" t="s">
        <v>337</v>
      </c>
      <c r="F11" s="10" t="s">
        <v>358</v>
      </c>
      <c r="G11" s="10" t="s">
        <v>51</v>
      </c>
      <c r="H11" s="10"/>
      <c r="I11" s="10" t="s">
        <v>350</v>
      </c>
    </row>
    <row r="12" customFormat="false" ht="15" hidden="false" customHeight="false" outlineLevel="0" collapsed="false">
      <c r="A12" s="9" t="s">
        <v>125</v>
      </c>
      <c r="B12" s="10"/>
      <c r="C12" s="10" t="s">
        <v>342</v>
      </c>
      <c r="D12" s="10" t="s">
        <v>120</v>
      </c>
      <c r="E12" s="10" t="s">
        <v>343</v>
      </c>
      <c r="F12" s="10" t="s">
        <v>359</v>
      </c>
      <c r="G12" s="10"/>
      <c r="H12" s="10"/>
      <c r="I12" s="10" t="s">
        <v>350</v>
      </c>
    </row>
    <row r="13" customFormat="false" ht="15" hidden="false" customHeight="false" outlineLevel="0" collapsed="false">
      <c r="A13" s="9" t="s">
        <v>360</v>
      </c>
      <c r="B13" s="10" t="n">
        <v>15</v>
      </c>
      <c r="C13" s="10" t="s">
        <v>337</v>
      </c>
      <c r="D13" s="10" t="s">
        <v>135</v>
      </c>
      <c r="E13" s="10" t="s">
        <v>337</v>
      </c>
      <c r="F13" s="10" t="s">
        <v>361</v>
      </c>
      <c r="G13" s="10" t="s">
        <v>51</v>
      </c>
      <c r="H13" s="10"/>
      <c r="I13" s="10" t="s">
        <v>350</v>
      </c>
    </row>
    <row r="14" customFormat="false" ht="15" hidden="false" customHeight="false" outlineLevel="0" collapsed="false">
      <c r="A14" s="9" t="s">
        <v>118</v>
      </c>
      <c r="B14" s="10"/>
      <c r="C14" s="10" t="s">
        <v>342</v>
      </c>
      <c r="D14" s="10" t="s">
        <v>112</v>
      </c>
      <c r="E14" s="10" t="s">
        <v>343</v>
      </c>
      <c r="F14" s="10" t="s">
        <v>362</v>
      </c>
      <c r="G14" s="10"/>
      <c r="H14" s="10"/>
      <c r="I14" s="10" t="s">
        <v>339</v>
      </c>
    </row>
    <row r="15" customFormat="false" ht="15" hidden="false" customHeight="false" outlineLevel="0" collapsed="false">
      <c r="A15" s="9" t="s">
        <v>363</v>
      </c>
      <c r="B15" s="10" t="n">
        <v>7</v>
      </c>
      <c r="C15" s="10" t="s">
        <v>337</v>
      </c>
      <c r="D15" s="10" t="s">
        <v>112</v>
      </c>
      <c r="E15" s="10" t="s">
        <v>337</v>
      </c>
      <c r="F15" s="10" t="s">
        <v>364</v>
      </c>
      <c r="G15" s="10" t="s">
        <v>51</v>
      </c>
      <c r="H15" s="10"/>
      <c r="I15" s="10" t="s">
        <v>339</v>
      </c>
    </row>
    <row r="16" customFormat="false" ht="15" hidden="false" customHeight="false" outlineLevel="0" collapsed="false">
      <c r="A16" s="9" t="s">
        <v>365</v>
      </c>
      <c r="B16" s="10" t="n">
        <v>20</v>
      </c>
      <c r="C16" s="10" t="s">
        <v>337</v>
      </c>
      <c r="D16" s="10" t="s">
        <v>59</v>
      </c>
      <c r="E16" s="10" t="s">
        <v>337</v>
      </c>
      <c r="F16" s="10" t="s">
        <v>366</v>
      </c>
      <c r="G16" s="10" t="s">
        <v>51</v>
      </c>
      <c r="H16" s="10"/>
      <c r="I16" s="10" t="s">
        <v>339</v>
      </c>
    </row>
    <row r="17" customFormat="false" ht="15" hidden="false" customHeight="false" outlineLevel="0" collapsed="false">
      <c r="A17" s="9" t="s">
        <v>65</v>
      </c>
      <c r="B17" s="10"/>
      <c r="C17" s="10" t="s">
        <v>342</v>
      </c>
      <c r="D17" s="10" t="s">
        <v>59</v>
      </c>
      <c r="E17" s="10" t="s">
        <v>343</v>
      </c>
      <c r="F17" s="10" t="s">
        <v>367</v>
      </c>
      <c r="G17" s="10"/>
      <c r="H17" s="10"/>
      <c r="I17" s="10" t="s">
        <v>339</v>
      </c>
    </row>
    <row r="18" customFormat="false" ht="15" hidden="false" customHeight="false" outlineLevel="0" collapsed="false">
      <c r="A18" s="9" t="s">
        <v>368</v>
      </c>
      <c r="B18" s="10" t="n">
        <v>5</v>
      </c>
      <c r="C18" s="10" t="s">
        <v>337</v>
      </c>
      <c r="D18" s="10" t="s">
        <v>105</v>
      </c>
      <c r="E18" s="10" t="s">
        <v>337</v>
      </c>
      <c r="F18" s="10" t="s">
        <v>369</v>
      </c>
      <c r="G18" s="10" t="s">
        <v>51</v>
      </c>
      <c r="H18" s="10"/>
      <c r="I18" s="10" t="s">
        <v>350</v>
      </c>
    </row>
    <row r="19" customFormat="false" ht="15" hidden="false" customHeight="false" outlineLevel="0" collapsed="false">
      <c r="A19" s="9" t="s">
        <v>370</v>
      </c>
      <c r="B19" s="10"/>
      <c r="C19" s="10" t="s">
        <v>342</v>
      </c>
      <c r="D19" s="10" t="s">
        <v>105</v>
      </c>
      <c r="E19" s="10" t="s">
        <v>343</v>
      </c>
      <c r="F19" s="10" t="s">
        <v>371</v>
      </c>
      <c r="G19" s="10"/>
      <c r="H19" s="10"/>
      <c r="I19" s="10" t="s">
        <v>350</v>
      </c>
    </row>
    <row r="20" customFormat="false" ht="15" hidden="false" customHeight="false" outlineLevel="0" collapsed="false">
      <c r="A20" s="9" t="s">
        <v>372</v>
      </c>
      <c r="B20" s="10" t="n">
        <v>14</v>
      </c>
      <c r="C20" s="10" t="s">
        <v>337</v>
      </c>
      <c r="D20" s="10" t="s">
        <v>154</v>
      </c>
      <c r="E20" s="10" t="s">
        <v>337</v>
      </c>
      <c r="F20" s="10" t="s">
        <v>373</v>
      </c>
      <c r="G20" s="10" t="s">
        <v>89</v>
      </c>
      <c r="H20" s="10"/>
      <c r="I20" s="10" t="s">
        <v>350</v>
      </c>
    </row>
    <row r="21" customFormat="false" ht="15" hidden="false" customHeight="false" outlineLevel="0" collapsed="false">
      <c r="A21" s="9" t="s">
        <v>160</v>
      </c>
      <c r="B21" s="10"/>
      <c r="C21" s="10" t="s">
        <v>342</v>
      </c>
      <c r="D21" s="10" t="s">
        <v>147</v>
      </c>
      <c r="E21" s="10" t="s">
        <v>343</v>
      </c>
      <c r="F21" s="10" t="s">
        <v>374</v>
      </c>
      <c r="G21" s="10"/>
      <c r="H21" s="10"/>
      <c r="I21" s="10" t="s">
        <v>350</v>
      </c>
    </row>
    <row r="22" customFormat="false" ht="15" hidden="false" customHeight="false" outlineLevel="0" collapsed="false">
      <c r="A22" s="9" t="s">
        <v>375</v>
      </c>
      <c r="B22" s="10" t="n">
        <v>8</v>
      </c>
      <c r="C22" s="10" t="s">
        <v>337</v>
      </c>
      <c r="D22" s="10" t="s">
        <v>141</v>
      </c>
      <c r="E22" s="10" t="s">
        <v>337</v>
      </c>
      <c r="F22" s="10" t="s">
        <v>376</v>
      </c>
      <c r="G22" s="10" t="s">
        <v>74</v>
      </c>
      <c r="H22" s="10"/>
      <c r="I22" s="10" t="s">
        <v>350</v>
      </c>
    </row>
    <row r="23" customFormat="false" ht="15" hidden="false" customHeight="false" outlineLevel="0" collapsed="false">
      <c r="A23" s="9" t="s">
        <v>146</v>
      </c>
      <c r="B23" s="10"/>
      <c r="C23" s="10" t="s">
        <v>342</v>
      </c>
      <c r="D23" s="10" t="s">
        <v>141</v>
      </c>
      <c r="E23" s="10" t="s">
        <v>343</v>
      </c>
      <c r="F23" s="10" t="s">
        <v>377</v>
      </c>
      <c r="G23" s="10"/>
      <c r="H23" s="10"/>
      <c r="I23" s="10" t="s">
        <v>350</v>
      </c>
    </row>
    <row r="24" customFormat="false" ht="15" hidden="false" customHeight="false" outlineLevel="0" collapsed="false">
      <c r="A24" s="9" t="s">
        <v>378</v>
      </c>
      <c r="B24" s="10" t="n">
        <v>9</v>
      </c>
      <c r="C24" s="10" t="s">
        <v>337</v>
      </c>
      <c r="D24" s="10" t="s">
        <v>127</v>
      </c>
      <c r="E24" s="10" t="s">
        <v>337</v>
      </c>
      <c r="F24" s="10" t="s">
        <v>379</v>
      </c>
      <c r="G24" s="10" t="s">
        <v>51</v>
      </c>
      <c r="H24" s="10"/>
      <c r="I24" s="10" t="s">
        <v>350</v>
      </c>
    </row>
    <row r="25" customFormat="false" ht="15" hidden="false" customHeight="false" outlineLevel="0" collapsed="false">
      <c r="A25" s="9" t="s">
        <v>133</v>
      </c>
      <c r="B25" s="10"/>
      <c r="C25" s="10" t="s">
        <v>342</v>
      </c>
      <c r="D25" s="10" t="s">
        <v>127</v>
      </c>
      <c r="E25" s="10" t="s">
        <v>343</v>
      </c>
      <c r="F25" s="10" t="s">
        <v>380</v>
      </c>
      <c r="G25" s="10"/>
      <c r="H25" s="10"/>
      <c r="I25" s="10" t="s">
        <v>350</v>
      </c>
    </row>
    <row r="26" customFormat="false" ht="15" hidden="false" customHeight="false" outlineLevel="0" collapsed="false">
      <c r="A26" s="9" t="s">
        <v>381</v>
      </c>
      <c r="B26" s="10" t="n">
        <v>7</v>
      </c>
      <c r="C26" s="10" t="s">
        <v>337</v>
      </c>
      <c r="D26" s="10" t="s">
        <v>147</v>
      </c>
      <c r="E26" s="10" t="s">
        <v>337</v>
      </c>
      <c r="F26" s="10" t="s">
        <v>382</v>
      </c>
      <c r="G26" s="10" t="s">
        <v>51</v>
      </c>
      <c r="H26" s="10"/>
      <c r="I26" s="10" t="s">
        <v>350</v>
      </c>
    </row>
    <row r="27" customFormat="false" ht="15" hidden="false" customHeight="false" outlineLevel="0" collapsed="false">
      <c r="A27" s="9" t="s">
        <v>383</v>
      </c>
      <c r="B27" s="10"/>
      <c r="C27" s="10" t="s">
        <v>342</v>
      </c>
      <c r="D27" s="10" t="s">
        <v>147</v>
      </c>
      <c r="E27" s="10" t="s">
        <v>343</v>
      </c>
      <c r="F27" s="10" t="s">
        <v>384</v>
      </c>
      <c r="G27" s="10"/>
      <c r="H27" s="10"/>
      <c r="I27" s="10" t="s">
        <v>350</v>
      </c>
    </row>
    <row r="28" customFormat="false" ht="15" hidden="false" customHeight="false" outlineLevel="0" collapsed="false">
      <c r="A28" s="9" t="s">
        <v>385</v>
      </c>
      <c r="B28" s="10" t="n">
        <v>13</v>
      </c>
      <c r="C28" s="10" t="s">
        <v>337</v>
      </c>
      <c r="D28" s="10" t="s">
        <v>52</v>
      </c>
      <c r="E28" s="10" t="s">
        <v>337</v>
      </c>
      <c r="F28" s="10" t="s">
        <v>386</v>
      </c>
      <c r="G28" s="10" t="s">
        <v>51</v>
      </c>
      <c r="H28" s="10"/>
      <c r="I28" s="10" t="s">
        <v>387</v>
      </c>
    </row>
    <row r="29" customFormat="false" ht="15" hidden="false" customHeight="false" outlineLevel="0" collapsed="false">
      <c r="A29" s="9" t="s">
        <v>49</v>
      </c>
      <c r="B29" s="10"/>
      <c r="C29" s="10" t="s">
        <v>342</v>
      </c>
      <c r="D29" s="10" t="s">
        <v>43</v>
      </c>
      <c r="E29" s="10" t="s">
        <v>343</v>
      </c>
      <c r="F29" s="10" t="s">
        <v>388</v>
      </c>
      <c r="G29" s="10"/>
      <c r="H29" s="10"/>
      <c r="I29" s="10" t="s">
        <v>387</v>
      </c>
    </row>
    <row r="30" customFormat="false" ht="15" hidden="false" customHeight="false" outlineLevel="0" collapsed="false">
      <c r="A30" s="9" t="s">
        <v>389</v>
      </c>
      <c r="B30" s="10" t="n">
        <v>5</v>
      </c>
      <c r="C30" s="10" t="s">
        <v>337</v>
      </c>
      <c r="D30" s="10" t="s">
        <v>43</v>
      </c>
      <c r="E30" s="10" t="s">
        <v>337</v>
      </c>
      <c r="F30" s="10" t="s">
        <v>390</v>
      </c>
      <c r="G30" s="10" t="s">
        <v>51</v>
      </c>
      <c r="H30" s="10"/>
      <c r="I30" s="10" t="s">
        <v>387</v>
      </c>
    </row>
    <row r="31" customFormat="false" ht="15" hidden="false" customHeight="false" outlineLevel="0" collapsed="false">
      <c r="A31" s="9" t="s">
        <v>391</v>
      </c>
      <c r="B31" s="10" t="n">
        <v>6</v>
      </c>
      <c r="C31" s="10" t="s">
        <v>337</v>
      </c>
      <c r="D31" s="10" t="s">
        <v>43</v>
      </c>
      <c r="E31" s="10" t="s">
        <v>337</v>
      </c>
      <c r="F31" s="10" t="s">
        <v>392</v>
      </c>
      <c r="G31" s="10" t="s">
        <v>51</v>
      </c>
      <c r="H31" s="10"/>
      <c r="I31" s="10" t="s">
        <v>387</v>
      </c>
    </row>
    <row r="32" customFormat="false" ht="15" hidden="false" customHeight="false" outlineLevel="0" collapsed="false">
      <c r="A32" s="9" t="s">
        <v>393</v>
      </c>
      <c r="B32" s="10" t="n">
        <v>13</v>
      </c>
      <c r="C32" s="10" t="s">
        <v>337</v>
      </c>
      <c r="D32" s="10" t="s">
        <v>75</v>
      </c>
      <c r="E32" s="10" t="s">
        <v>337</v>
      </c>
      <c r="F32" s="10" t="s">
        <v>394</v>
      </c>
      <c r="G32" s="10" t="s">
        <v>51</v>
      </c>
      <c r="H32" s="10"/>
      <c r="I32" s="10" t="s">
        <v>339</v>
      </c>
    </row>
    <row r="33" customFormat="false" ht="15" hidden="false" customHeight="false" outlineLevel="0" collapsed="false">
      <c r="A33" s="9" t="s">
        <v>395</v>
      </c>
      <c r="B33" s="10"/>
      <c r="C33" s="10" t="s">
        <v>342</v>
      </c>
      <c r="D33" s="10" t="s">
        <v>90</v>
      </c>
      <c r="E33" s="10" t="s">
        <v>343</v>
      </c>
      <c r="F33" s="10" t="s">
        <v>396</v>
      </c>
      <c r="G33" s="10"/>
      <c r="H33" s="10"/>
      <c r="I33" s="10" t="s">
        <v>339</v>
      </c>
    </row>
    <row r="34" customFormat="false" ht="15" hidden="false" customHeight="false" outlineLevel="0" collapsed="false">
      <c r="A34" s="9" t="s">
        <v>397</v>
      </c>
      <c r="B34" s="10"/>
      <c r="C34" s="10" t="s">
        <v>342</v>
      </c>
      <c r="D34" s="10" t="s">
        <v>75</v>
      </c>
      <c r="E34" s="10" t="s">
        <v>343</v>
      </c>
      <c r="F34" s="10" t="s">
        <v>398</v>
      </c>
      <c r="G34" s="10"/>
      <c r="H34" s="10"/>
      <c r="I34" s="10" t="s">
        <v>339</v>
      </c>
    </row>
    <row r="35" customFormat="false" ht="15" hidden="false" customHeight="false" outlineLevel="0" collapsed="false">
      <c r="A35" s="9" t="s">
        <v>399</v>
      </c>
      <c r="B35" s="10" t="n">
        <v>33</v>
      </c>
      <c r="C35" s="10" t="s">
        <v>337</v>
      </c>
      <c r="D35" s="10" t="s">
        <v>90</v>
      </c>
      <c r="E35" s="10" t="s">
        <v>337</v>
      </c>
      <c r="F35" s="10" t="s">
        <v>400</v>
      </c>
      <c r="G35" s="10" t="s">
        <v>51</v>
      </c>
      <c r="H35" s="10"/>
      <c r="I35" s="10" t="s">
        <v>339</v>
      </c>
    </row>
    <row r="36" customFormat="false" ht="15" hidden="false" customHeight="false" outlineLevel="0" collapsed="false">
      <c r="A36" s="9" t="s">
        <v>401</v>
      </c>
      <c r="B36" s="10"/>
      <c r="C36" s="10" t="s">
        <v>342</v>
      </c>
      <c r="D36" s="10" t="s">
        <v>90</v>
      </c>
      <c r="E36" s="10" t="s">
        <v>343</v>
      </c>
      <c r="F36" s="10" t="s">
        <v>402</v>
      </c>
      <c r="G36" s="10"/>
      <c r="H36" s="10"/>
      <c r="I36" s="10" t="s">
        <v>339</v>
      </c>
    </row>
    <row r="37" customFormat="false" ht="15" hidden="false" customHeight="false" outlineLevel="0" collapsed="false">
      <c r="A37" s="9" t="s">
        <v>403</v>
      </c>
      <c r="B37" s="10" t="n">
        <v>17</v>
      </c>
      <c r="C37" s="10" t="s">
        <v>337</v>
      </c>
      <c r="D37" s="10" t="s">
        <v>162</v>
      </c>
      <c r="E37" s="10" t="s">
        <v>337</v>
      </c>
      <c r="F37" s="10" t="s">
        <v>404</v>
      </c>
      <c r="G37" s="10" t="s">
        <v>51</v>
      </c>
      <c r="H37" s="10"/>
      <c r="I37" s="10" t="s">
        <v>387</v>
      </c>
    </row>
    <row r="38" customFormat="false" ht="15" hidden="false" customHeight="false" outlineLevel="0" collapsed="false">
      <c r="A38" s="9" t="s">
        <v>405</v>
      </c>
      <c r="B38" s="10"/>
      <c r="C38" s="10" t="s">
        <v>342</v>
      </c>
      <c r="D38" s="10" t="s">
        <v>170</v>
      </c>
      <c r="E38" s="10" t="s">
        <v>343</v>
      </c>
      <c r="F38" s="10" t="s">
        <v>406</v>
      </c>
      <c r="G38" s="10"/>
      <c r="H38" s="10"/>
      <c r="I38" s="10" t="s">
        <v>387</v>
      </c>
    </row>
    <row r="39" customFormat="false" ht="15" hidden="false" customHeight="false" outlineLevel="0" collapsed="false">
      <c r="A39" s="9" t="s">
        <v>407</v>
      </c>
      <c r="B39" s="10" t="n">
        <v>16</v>
      </c>
      <c r="C39" s="10" t="s">
        <v>337</v>
      </c>
      <c r="D39" s="10" t="s">
        <v>177</v>
      </c>
      <c r="E39" s="10" t="s">
        <v>337</v>
      </c>
      <c r="F39" s="10" t="s">
        <v>408</v>
      </c>
      <c r="G39" s="10" t="s">
        <v>89</v>
      </c>
      <c r="H39" s="10"/>
      <c r="I39" s="10" t="s">
        <v>387</v>
      </c>
    </row>
    <row r="40" customFormat="false" ht="15" hidden="false" customHeight="false" outlineLevel="0" collapsed="false">
      <c r="A40" s="9" t="s">
        <v>182</v>
      </c>
      <c r="B40" s="10"/>
      <c r="C40" s="10" t="s">
        <v>342</v>
      </c>
      <c r="D40" s="10" t="s">
        <v>177</v>
      </c>
      <c r="E40" s="10" t="s">
        <v>343</v>
      </c>
      <c r="F40" s="10" t="s">
        <v>409</v>
      </c>
      <c r="G40" s="10"/>
      <c r="H40" s="10"/>
      <c r="I40" s="10" t="s">
        <v>387</v>
      </c>
    </row>
    <row r="41" customFormat="false" ht="15" hidden="false" customHeight="false" outlineLevel="0" collapsed="false">
      <c r="A41" s="9" t="s">
        <v>410</v>
      </c>
      <c r="B41" s="10" t="n">
        <v>11</v>
      </c>
      <c r="C41" s="10" t="s">
        <v>337</v>
      </c>
      <c r="D41" s="10" t="s">
        <v>170</v>
      </c>
      <c r="E41" s="10" t="s">
        <v>337</v>
      </c>
      <c r="F41" s="10" t="s">
        <v>411</v>
      </c>
      <c r="G41" s="10" t="s">
        <v>51</v>
      </c>
      <c r="H41" s="10"/>
      <c r="I41" s="10" t="s">
        <v>387</v>
      </c>
    </row>
    <row r="42" customFormat="false" ht="15" hidden="false" customHeight="false" outlineLevel="0" collapsed="false">
      <c r="A42" s="9" t="s">
        <v>412</v>
      </c>
      <c r="B42" s="10" t="n">
        <v>68</v>
      </c>
      <c r="C42" s="10" t="s">
        <v>337</v>
      </c>
      <c r="D42" s="10" t="s">
        <v>98</v>
      </c>
      <c r="E42" s="10" t="s">
        <v>337</v>
      </c>
      <c r="F42" s="10" t="s">
        <v>413</v>
      </c>
      <c r="G42" s="10" t="s">
        <v>74</v>
      </c>
      <c r="H42" s="10" t="s">
        <v>345</v>
      </c>
      <c r="I42" s="10" t="s">
        <v>339</v>
      </c>
    </row>
    <row r="43" customFormat="false" ht="15" hidden="false" customHeight="false" outlineLevel="0" collapsed="false">
      <c r="A43" s="9" t="s">
        <v>414</v>
      </c>
      <c r="B43" s="10"/>
      <c r="C43" s="10" t="s">
        <v>342</v>
      </c>
      <c r="D43" s="10" t="s">
        <v>90</v>
      </c>
      <c r="E43" s="10" t="s">
        <v>343</v>
      </c>
      <c r="F43" s="10" t="s">
        <v>415</v>
      </c>
      <c r="G43" s="10"/>
      <c r="H43" s="10" t="s">
        <v>103</v>
      </c>
      <c r="I43" s="10" t="s">
        <v>339</v>
      </c>
    </row>
  </sheetData>
  <autoFilter ref="A1:I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8" t="s">
        <v>416</v>
      </c>
      <c r="B1" s="8" t="s">
        <v>417</v>
      </c>
      <c r="C1" s="8" t="s">
        <v>418</v>
      </c>
      <c r="D1" s="8" t="s">
        <v>419</v>
      </c>
      <c r="E1" s="8" t="s">
        <v>420</v>
      </c>
      <c r="F1" s="8" t="s">
        <v>20</v>
      </c>
    </row>
    <row r="2" customFormat="false" ht="35.05" hidden="false" customHeight="false" outlineLevel="0" collapsed="false">
      <c r="A2" s="9" t="s">
        <v>421</v>
      </c>
      <c r="B2" s="10" t="s">
        <v>422</v>
      </c>
      <c r="C2" s="10" t="s">
        <v>423</v>
      </c>
      <c r="D2" s="10" t="s">
        <v>424</v>
      </c>
      <c r="E2" s="12"/>
      <c r="F2" s="12" t="s">
        <v>425</v>
      </c>
    </row>
    <row r="3" customFormat="false" ht="23.85" hidden="false" customHeight="false" outlineLevel="0" collapsed="false">
      <c r="A3" s="9" t="s">
        <v>426</v>
      </c>
      <c r="B3" s="10" t="s">
        <v>427</v>
      </c>
      <c r="C3" s="10" t="s">
        <v>428</v>
      </c>
      <c r="D3" s="10" t="s">
        <v>429</v>
      </c>
      <c r="E3" s="12"/>
      <c r="F3" s="12" t="s">
        <v>425</v>
      </c>
    </row>
    <row r="4" customFormat="false" ht="23.85" hidden="false" customHeight="false" outlineLevel="0" collapsed="false">
      <c r="A4" s="9" t="s">
        <v>430</v>
      </c>
      <c r="B4" s="10" t="s">
        <v>431</v>
      </c>
      <c r="C4" s="10" t="s">
        <v>432</v>
      </c>
      <c r="D4" s="10" t="s">
        <v>433</v>
      </c>
      <c r="E4" s="12"/>
      <c r="F4" s="12" t="s">
        <v>425</v>
      </c>
    </row>
    <row r="5" customFormat="false" ht="23.85" hidden="false" customHeight="false" outlineLevel="0" collapsed="false">
      <c r="A5" s="9" t="s">
        <v>434</v>
      </c>
      <c r="B5" s="10" t="s">
        <v>435</v>
      </c>
      <c r="C5" s="10" t="s">
        <v>436</v>
      </c>
      <c r="D5" s="10" t="s">
        <v>437</v>
      </c>
      <c r="E5" s="12"/>
      <c r="F5" s="12" t="s">
        <v>425</v>
      </c>
    </row>
    <row r="6" customFormat="false" ht="35.05" hidden="false" customHeight="false" outlineLevel="0" collapsed="false">
      <c r="A6" s="9" t="s">
        <v>438</v>
      </c>
      <c r="B6" s="10" t="s">
        <v>439</v>
      </c>
      <c r="C6" s="10" t="s">
        <v>440</v>
      </c>
      <c r="D6" s="10" t="s">
        <v>441</v>
      </c>
      <c r="E6" s="12"/>
      <c r="F6" s="12" t="s">
        <v>425</v>
      </c>
    </row>
    <row r="7" customFormat="false" ht="23.85" hidden="false" customHeight="false" outlineLevel="0" collapsed="false">
      <c r="A7" s="9" t="s">
        <v>442</v>
      </c>
      <c r="B7" s="10" t="s">
        <v>443</v>
      </c>
      <c r="C7" s="10" t="s">
        <v>444</v>
      </c>
      <c r="D7" s="10" t="s">
        <v>445</v>
      </c>
      <c r="E7" s="12"/>
      <c r="F7" s="12" t="s">
        <v>425</v>
      </c>
    </row>
    <row r="8" customFormat="false" ht="23.85" hidden="false" customHeight="false" outlineLevel="0" collapsed="false">
      <c r="A8" s="9" t="s">
        <v>446</v>
      </c>
      <c r="B8" s="10" t="s">
        <v>447</v>
      </c>
      <c r="C8" s="10" t="s">
        <v>448</v>
      </c>
      <c r="D8" s="10" t="s">
        <v>449</v>
      </c>
      <c r="E8" s="12"/>
      <c r="F8" s="12" t="s">
        <v>425</v>
      </c>
    </row>
    <row r="9" customFormat="false" ht="23.85" hidden="false" customHeight="false" outlineLevel="0" collapsed="false">
      <c r="A9" s="9" t="s">
        <v>450</v>
      </c>
      <c r="B9" s="10" t="s">
        <v>451</v>
      </c>
      <c r="C9" s="10" t="s">
        <v>452</v>
      </c>
      <c r="D9" s="10" t="s">
        <v>453</v>
      </c>
      <c r="E9" s="12"/>
      <c r="F9" s="12" t="s">
        <v>425</v>
      </c>
    </row>
    <row r="10" customFormat="false" ht="23.85" hidden="false" customHeight="false" outlineLevel="0" collapsed="false">
      <c r="A10" s="9" t="s">
        <v>454</v>
      </c>
      <c r="B10" s="10" t="s">
        <v>455</v>
      </c>
      <c r="C10" s="10" t="s">
        <v>456</v>
      </c>
      <c r="D10" s="10" t="s">
        <v>457</v>
      </c>
      <c r="E10" s="12"/>
      <c r="F10" s="12" t="s">
        <v>425</v>
      </c>
    </row>
    <row r="11" customFormat="false" ht="23.85" hidden="false" customHeight="false" outlineLevel="0" collapsed="false">
      <c r="A11" s="9" t="s">
        <v>458</v>
      </c>
      <c r="B11" s="10" t="s">
        <v>459</v>
      </c>
      <c r="C11" s="10" t="s">
        <v>460</v>
      </c>
      <c r="D11" s="10" t="s">
        <v>461</v>
      </c>
      <c r="E11" s="12"/>
      <c r="F11" s="12" t="s">
        <v>425</v>
      </c>
    </row>
  </sheetData>
  <autoFilter ref="A1:F11"/>
  <dataValidations count="1">
    <dataValidation allowBlank="true" errorStyle="stop" operator="between" showDropDown="false" showErrorMessage="false" showInputMessage="false" sqref="F2:F11" type="list">
      <formula1>"Open,Decided,Parked"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2026-10-17T09:29:48Z</dcterms:created>
  <dc:creator>openpyxl</dc:creator>
  <dc:description/>
  <dc:language>en-US</dc:language>
  <cp:lastModifiedBy/>
  <dcterms:modified xsi:type="dcterms:W3CDTF">2026-10-17T09:29:48Z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